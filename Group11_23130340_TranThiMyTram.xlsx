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
    </mc:Choice>
  </mc:AlternateContent>
  <xr:revisionPtr revIDLastSave="0" documentId="13_ncr:1_{80F3BCBD-1F6B-4DF4-961B-4228EAA23ECF}" xr6:coauthVersionLast="47" xr6:coauthVersionMax="47" xr10:uidLastSave="{00000000-0000-0000-0000-000000000000}"/>
  <bookViews>
    <workbookView xWindow="-113" yWindow="-113" windowWidth="24267" windowHeight="13023" activeTab="1" xr2:uid="{00000000-000D-0000-FFFF-FFFF00000000}"/>
  </bookViews>
  <sheets>
    <sheet name="TestDesign" sheetId="1" r:id="rId1"/>
    <sheet name="Giỏ hàng" sheetId="2" r:id="rId2"/>
    <sheet name="Đặt hàng và thanh toán" sheetId="3" r:id="rId3"/>
    <sheet name="Mua trả góp"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4" l="1"/>
  <c r="C6" i="4" s="1"/>
  <c r="E6" i="4"/>
  <c r="D6" i="4"/>
  <c r="B6" i="4"/>
  <c r="A6" i="4"/>
  <c r="F6" i="3"/>
  <c r="C6" i="3" s="1"/>
  <c r="E6" i="3"/>
  <c r="D6" i="3"/>
  <c r="B6" i="3"/>
  <c r="A6" i="3"/>
  <c r="E93" i="1"/>
  <c r="F6" i="2"/>
  <c r="E6" i="2"/>
  <c r="A6" i="2"/>
  <c r="C6" i="2" l="1"/>
</calcChain>
</file>

<file path=xl/sharedStrings.xml><?xml version="1.0" encoding="utf-8"?>
<sst xmlns="http://schemas.openxmlformats.org/spreadsheetml/2006/main" count="903" uniqueCount="611">
  <si>
    <t>Module Code</t>
  </si>
  <si>
    <t>CART</t>
  </si>
  <si>
    <t>Dữ liệu test chung</t>
  </si>
  <si>
    <t>Test requirement</t>
  </si>
  <si>
    <t>Giỏ hàng (Thêm, hiển thị, cập nhật, tính tiền, lưu trữ) - https://www.dienmayxanh.com/</t>
  </si>
  <si>
    <t>SP A: sản phẩm có Flash sale (giá giảm, trang chi tiết hiển thị "Còn x/y suất")</t>
  </si>
  <si>
    <t>Tester</t>
  </si>
  <si>
    <t>Trần Thị Mỹ Trâm</t>
  </si>
  <si>
    <t>SP B: sản phẩm có giảm giá và quà tặng kèm</t>
  </si>
  <si>
    <t>Passed</t>
  </si>
  <si>
    <t>Failed</t>
  </si>
  <si>
    <t>Untested</t>
  </si>
  <si>
    <t>Blocked</t>
  </si>
  <si>
    <t>Skipped</t>
  </si>
  <si>
    <t>Number of Test cases</t>
  </si>
  <si>
    <t>SP C: sản phẩm thường, không khuyến mãi. SP D: sản phẩm hết hàng tại khu vực đang chọn. SP E: sản phẩm Flash sale đã hết suất</t>
  </si>
  <si>
    <t>Ký hiệu: a, b, c = đơn giá hiển thị trên trang chi tiết (theo khu vực đã chọn) của SP A, SP B, SP C. Tài khoản test: số điện thoại nhận được OTP. Trình duyệt: Chrome, Firefox, Edge, Safari bản mới nhất</t>
  </si>
  <si>
    <t>Test Case ID</t>
  </si>
  <si>
    <t>Test Case Title</t>
  </si>
  <si>
    <t>Test Case Description</t>
  </si>
  <si>
    <t>Expected Output</t>
  </si>
  <si>
    <t>Inter-test case Dependence</t>
  </si>
  <si>
    <t>Status</t>
  </si>
  <si>
    <t>Test date</t>
  </si>
  <si>
    <t>Note</t>
  </si>
  <si>
    <t>CART_Add_01</t>
  </si>
  <si>
    <t>Thêm sản phẩm vào giỏ hàng thành công từ trang chi tiết</t>
  </si>
  <si>
    <t>Pre-condition:
+ Chưa đăng nhập
+ Giỏ hàng đang trống
+ Khu vực nhận hàng: Hồ Chí Minh
+ Dùng SP A (có Flash sale)
Steps:
1. Mở trang chi tiết SP A
2. Click nút [Thêm vào giỏ]
3. Click biểu tượng [Giỏ hàng] trên header</t>
  </si>
  <si>
    <t>1. Trang chi tiết hiển thị đúng tên, giá, các nút [Thêm vào giỏ], [Mua ngay]
2. Hiển thị thông báo thêm vào giỏ thành công, vẫn ở trang chi tiết
3. Mở trang giỏ hàng, có 1 dòng SP A, số lượng = 1, đơn giá = a</t>
  </si>
  <si>
    <t>29/10/2026</t>
  </si>
  <si>
    <t>Passed via Playwright automation</t>
  </si>
  <si>
    <t>CART_Add_02</t>
  </si>
  <si>
    <t>Hiển thị thông báo và liên kết [Xem giỏ hàng] sau khi thêm sản phẩm</t>
  </si>
  <si>
    <t>Pre-condition:
+ Giỏ hàng đang trống
+ Dùng SP A (có Flash sale)
Steps:
1. Mở trang chi tiết SP A, click [Thêm vào giỏ]
2. Quan sát thông báo trên header
3. Click liên kết [Xem giỏ hàng] trong thông báo
4. Quay lại trang chi tiết, thêm SP A một lần nữa</t>
  </si>
  <si>
    <t>1. Hiển thị thông báo "Đã thêm vào giỏ hàng" kèm liên kết [Xem giỏ hàng]
2. Thông báo không che các nút chức năng khác
3. Chuyển sang trang giỏ hàng và có SP A
4. Thông báo hiển thị lại mỗi lần thêm, không bị lặp nhiều thông báo chồng nhau</t>
  </si>
  <si>
    <t>Passed via Playwright automation. Toast hiển thị đúng liên kết [Xem giỏ hàng]</t>
  </si>
  <si>
    <t>CART_Add_03</t>
  </si>
  <si>
    <t>Nút [Mua ngay] chuyển sang trang mua ngay mà không thêm sản phẩm vào giỏ hàng</t>
  </si>
  <si>
    <t>Pre-condition:
+ Chưa đăng nhập
+ Giỏ hàng đang trống
+ Dùng SP A (có Flash sale)
Steps:
1. Mở trang chi tiết SP A, click [Mua ngay]
2. Quan sát địa chỉ trang và nội dung hiển thị
3. Click [Giỏ hàng] trên header</t>
  </si>
  <si>
    <t>1. Trang chi tiết SP A hiển thị đúng, nút [Mua ngay] hoạt động
2. Chuyển sang trang /gio-hang-mua-ngay, hiển thị SP A số lượng 1, đơn giá = a
3. Chuyển sang trang /gio-hang, hiển thị giỏ hàng trống; biểu tượng giỏ hàng không tăng số lượng</t>
  </si>
  <si>
    <t>Passed via Playwright automation. Nút [Mua ngay] chuyển đúng trang, giỏ hàng giữ nguyên</t>
  </si>
  <si>
    <t>CART_Add_04</t>
  </si>
  <si>
    <t>Thêm sản phẩm vào giỏ hàng khi chưa chọn khu vực nhận hàng</t>
  </si>
  <si>
    <t>Pre-condition:
+ Dùng trình duyệt ẩn danh (chưa lưu khu vực)
+ Dùng SP A (có Flash sale)
Steps:
1. Mở trang chủ https://www.dienmayxanh.com/
2. Mở trang chi tiết SP A
3. Click [Thêm vào giỏ]</t>
  </si>
  <si>
    <t>1. Hiển thị gợi ý khu vực mặc định (vd: "Bạn đang ở tại Hồ Chí Minh?") hoặc popup chọn khu vực
2. Giá hiển thị theo khu vực mặc định đang chọn
3. Thêm vào giỏ thành công hoặc yêu cầu chọn địa chỉ; không lỗi trắng trang</t>
  </si>
  <si>
    <t>Passed via Playwright automation. Web tự động nhận diện khu vực mặc định</t>
  </si>
  <si>
    <t>CART_Add_05</t>
  </si>
  <si>
    <t>Thêm sản phẩm vào giỏ hàng khi chưa đăng nhập</t>
  </si>
  <si>
    <t>Pre-condition:
+ Chưa đăng nhập
+ Giỏ hàng đang trống
+ Dùng SP A (có Flash sale)
Steps:
1. Mở trang chi tiết SP A, click [Thêm vào giỏ]
2. Mở trang giỏ hàng</t>
  </si>
  <si>
    <t>1. Thêm thành công, không bắt buộc đăng nhập
2. Giỏ hàng hiển thị SP A, số lượng 1</t>
  </si>
  <si>
    <t>Passed via Playwright automation. Khách vãng lai thêm giỏ hàng bình thường</t>
  </si>
  <si>
    <t>CART_Add_06</t>
  </si>
  <si>
    <t>Thêm cùng một sản phẩm hai lần thì số lượng tăng lên 2</t>
  </si>
  <si>
    <t>Pre-condition:
+ Giỏ hàng đang trống
+ Dùng SP A (có Flash sale)
Steps:
1. Mở trang chi tiết SP A, click [Thêm vào giỏ]
2. Click [Thêm vào giỏ] một lần nữa
3. Mở trang giỏ hàng</t>
  </si>
  <si>
    <t>1. Thêm thành công, giỏ có SP A số lượng 1
2. Hiển thị thông báo thêm thành công, thêm thành công
3. Giỏ hàng chỉ có 1 dòng SP A, số lượng = 2, thành tiền = 2 × a (không tách thành 2 dòng)</t>
  </si>
  <si>
    <t>Passed via Playwright automation. Thêm 2 lần tự cộng dồn số lượng lên 2</t>
  </si>
  <si>
    <t>CART_Add_07</t>
  </si>
  <si>
    <t>Thêm nhiều sản phẩm khác nhau vào giỏ hàng thành công</t>
  </si>
  <si>
    <t>Pre-condition:
+ Giỏ hàng đang trống
+ Dùng SP A (có Flash sale), SP B (có quà tặng), SP C (sản phẩm thường)
Steps:
1. Thêm SP A vào giỏ
2. Thêm SP B vào giỏ
3. Thêm SP C vào giỏ
4. Mở trang giỏ hàng</t>
  </si>
  <si>
    <t>1. Thêm thành công
2. Thêm thành công
3. Thêm thành công
4. Giỏ có 3 dòng SP A, SP B, SP C, mỗi dòng số lượng 1; tổng tiền = a + b + c</t>
  </si>
  <si>
    <t>Passed via Playwright automation. Thêm nhiều sản phẩm khác nhau hiển thị đủ dòng</t>
  </si>
  <si>
    <t>CART_Add_08</t>
  </si>
  <si>
    <t>Không thể thêm sản phẩm hết hàng tại khu vực vào giỏ hàng</t>
  </si>
  <si>
    <t>Pre-condition:
+ Có 1 sản phẩm ở trạng thái hết hàng/ngừng bán tại khu vực đang chọn (SP D, tester xác định khi test)
+ Giỏ hàng đang trống
Steps:
1. Mở trang chi tiết SP D
2. Quan sát các nút mua hàng
3. Nếu nút [Thêm vào giỏ] còn khả dụng, click vào nút và mở giỏ hàng</t>
  </si>
  <si>
    <t>1. Hiển thị trạng thái hết hàng/ngừng kinh doanh
2. Nút [Thêm vào giỏ] bị ẩn/vô hiệu hoặc thay bằng nút khác (vd: tìm sản phẩm tương tự)
3. SP D không được thêm vào giỏ; hiển thị thông báo hết hàng phù hợp</t>
  </si>
  <si>
    <t>Xác nhận: cách website hiển thị sản phẩm hết hàng. [BLOCKED] Web live thay đổi tồn kho real-time, không có URL sản phẩm hết hàng cố định trên production.</t>
  </si>
  <si>
    <t>CART_Add_09</t>
  </si>
  <si>
    <t>Không giữ giá Flash sale khi sản phẩm đã hết suất</t>
  </si>
  <si>
    <t>Pre-condition:
+ Có 1 sản phẩm Flash sale đã hết suất (SP E, hiển thị 0 suất hoặc đã kết thúc)
+ Giỏ hàng đang trống
Steps:
1. Mở trang chi tiết SP E
2. Click [Thêm vào giỏ]
3. Mở trang giỏ hàng, xem đơn giá</t>
  </si>
  <si>
    <t>1. Trang không còn hiển thị giá Flash sale (hoặc báo hết suất)
2. Thêm giỏ thành công hoặc hiển thị thông báo hết suất
3. Nếu thêm được, đơn giá là giá thường, không giữ giá Flash sale</t>
  </si>
  <si>
    <t>Xác nhận: trang chi tiết sản phẩm Flash sale có dòng "Còn x/y suất"; số suất thay đổi theo thời gian. [BLOCKED] Phụ thuộc Flash sale bán hết 100% ngoài thực tế, không thể can thiệp backend production.</t>
  </si>
  <si>
    <t>CART_Display_01</t>
  </si>
  <si>
    <t>Mở trang giỏ hàng từ biểu tượng giỏ hàng trên header</t>
  </si>
  <si>
    <t>Pre-condition:
+ Chưa đăng nhập
+ Giỏ hàng có SP A (có Flash sale)
Steps:
1. Ở trang chủ, click [Giỏ hàng] trên header
2. Ở trang chi tiết sản phẩm, click [Giỏ hàng] trên header
3. Ở trang danh mục, click [Giỏ hàng] trên header</t>
  </si>
  <si>
    <t>1. Chuyển sang trang /gio-hang không yêu cầu đăng nhập, có SP A
2. Chuyển sang trang /gio-hang, nội dung giống nhau
3. Chuyển sang trang /gio-hang, nội dung giống nhau; header, footer hiển thị bình thường</t>
  </si>
  <si>
    <t>Passed via Playwright automation. Mở đúng /gio-hang từ header</t>
  </si>
  <si>
    <t>CART_Display_02</t>
  </si>
  <si>
    <t>Hiển thị giỏ hàng trống khi chưa có sản phẩm</t>
  </si>
  <si>
    <t>Pre-condition:
+ Chưa đăng nhập
+ Giỏ hàng đang trống
Steps:
1. Click [Giỏ hàng] trên header, quan sát trang
2. Quan sát phần thông tin hỗ trợ phía dưới
3. Click nút [Về trang chủ]</t>
  </si>
  <si>
    <t>1. Chuyển sang trang /gio-hang, hiển thị hình minh họa, tiêu đề "Giỏ hàng trống", dòng "Không có sản phẩm nào trong giỏ hàng"; không có tổng tiền, không có nút đặt hàng
2. Hiển thị thông tin hỗ trợ: gọi 1900.232.461 hoặc 028.3948.6789 (8h00 - 21h30)
3. Chuyển về trang chủ https://www.dienmayxanh.com/</t>
  </si>
  <si>
    <t>Đối chiếu ảnh chụp màn hình giỏ hàng trống đã khảo sát. [PASS] Giỏ hàng trống hiển thị đúng tiêu đề và nút [Về trang chủ]</t>
  </si>
  <si>
    <t>CART_Display_03</t>
  </si>
  <si>
    <t>Hiển thị đầy đủ thông tin từng sản phẩm trong giỏ hàng</t>
  </si>
  <si>
    <t>Pre-condition:
+ Giỏ hàng có SP A (SL 1) và SP B (SL 1)
Steps:
1. Mở trang giỏ hàng, quan sát từng dòng sản phẩm
2. So sánh tên, giá từng sản phẩm với trang chi tiết
3. Click vào ảnh/tên sản phẩm trong giỏ</t>
  </si>
  <si>
    <t>1. Mỗi dòng có ảnh, tên đầy đủ, đơn giá, số lượng, thành tiền; ảnh không vỡ, không bị cắt
2. Tên, giá khớp trang chi tiết (đơn giá SP A = a, SP B = b)
3. Chuyển sang trang chi tiết đúng sản phẩm (nếu giỏ cho phép)</t>
  </si>
  <si>
    <t>Xác nhận: giỏ có hiển thị màu/phiên bản và liên kết sang trang chi tiết không. [PASS] Đầy đủ thông tin tên, ảnh, giá, quà tặng</t>
  </si>
  <si>
    <t>CART_Display_04</t>
  </si>
  <si>
    <t>Hiển thị đúng số lượng trên biểu tượng giỏ hàng</t>
  </si>
  <si>
    <t>Pre-condition:
+ Giỏ hàng đang trống
+ Dùng SP A (có Flash sale), SP B (có quà tặng)
Steps:
1. Quan sát biểu tượng giỏ hàng khi giỏ trống
2. Thêm SP A, quan sát biểu tượng
3. Thêm SP B, quan sát biểu tượng
4. Vào giỏ, tăng số lượng SP A lên 2, quan sát biểu tượng
5. Xóa SP B, quan sát biểu tượng</t>
  </si>
  <si>
    <t>1. Không hiển thị số (hoặc 0)
2. Hiển thị 1
3. Hiển thị 2
4. Hiển thị theo quy ước của hệ thống (số dòng sản phẩm = 2 hoặc tổng số lượng = 3), cần nhất quán
5. Biểu tượng giảm tương ứng</t>
  </si>
  <si>
    <t>Passed via Playwright automation. Badge số lượng trên header khớp đúng số lượng sản phẩm</t>
  </si>
  <si>
    <t>CART_Display_05</t>
  </si>
  <si>
    <t>Bố cục giỏ hàng hiển thị đúng trên desktop</t>
  </si>
  <si>
    <t>Pre-condition:
+ Giỏ hàng có SP A (có Flash sale), SP B (có quà tặng)
+ Chrome bản mới nhất, độ phân giải 1920x1080
Steps:
1. Mở trang giỏ hàng
2. Thu/phóng cửa sổ trình duyệt (1366x768, 1024x768)
3. Cuộn trang</t>
  </si>
  <si>
    <t>1. Danh sách sản phẩm, số lượng, tổng tiền, nút đặt hàng hiển thị đầy đủ, căn chỉnh, không chồng chéo, đúng font và màu chung của website
2. Bố cục co giãn hợp lý, không vỡ giao diện
3. Không có thanh cuộn ngang; vùng tổng tiền/nút đặt hàng luôn truy cập được</t>
  </si>
  <si>
    <t>Passed via Playwright automation. Giao diện hiển thị chuẩn ở độ phân giải 1920x1080 và 1366x768</t>
  </si>
  <si>
    <t>CART_Display_06</t>
  </si>
  <si>
    <t>Bố cục giỏ hàng hiển thị đúng trên di động</t>
  </si>
  <si>
    <t>Pre-condition:
+ Giỏ hàng có SP A (có Flash sale), SP B (có quà tặng)
+ Thiết bị di động (Android/iOS) hoặc Chrome DevTools 375x812
Steps:
1. Mở trang giỏ hàng
2. Cuộn trang
3. Xoay ngang màn hình</t>
  </si>
  <si>
    <t>1. Bố cục dạng 1 cột, không vỡ giao diện, chữ đọc được, nút +/−/xóa đủ lớn để bấm
2. Cuộn mượt; tổng tiền và nút đặt hàng hiển thị rõ, không bị che bởi thanh trình duyệt
3. Giao diện thích ứng khi xoay màn hình</t>
  </si>
  <si>
    <t>Passed via Playwright automation. Giao diện mobile hiển thị chuẩn, không bị tràn ngang (overflow = 0px)</t>
  </si>
  <si>
    <t>CART_Update_01</t>
  </si>
  <si>
    <t>Tăng số lượng sản phẩm thành công</t>
  </si>
  <si>
    <t>Pre-condition:
+ Giỏ hàng có SP A (có Flash sale), số lượng 1
Steps:
1. Mở trang giỏ hàng, quan sát hai nút cạnh ô số lượng
2. Click nút [+] một lần
3. Click nút [+] thêm một lần nữa
4. Nhập số lượng 5 vào ô số lượng, nhấn Enter</t>
  </si>
  <si>
    <t>1. Bên trái là biểu tượng thùng rác, bên phải là nút [+]
2. Số lượng = 2, thành tiền = 2 × a, tổng tiền cập nhật; nút bên trái chuyển thành [−]
3. Số lượng = 3, thành tiền = 3 × a, tổng tiền cập nhật
4. Ô số lượng cho phép nhập; số lượng = 5, thành tiền = 5 × a, tổng tiền và biểu tượng giỏ hàng cập nhật nhất quán</t>
  </si>
  <si>
    <t>Passed via Playwright automation. Tăng số lượng (+) thành công</t>
  </si>
  <si>
    <t>CART_Update_02</t>
  </si>
  <si>
    <t>Giảm số lượng sản phẩm thành công</t>
  </si>
  <si>
    <t>Pre-condition:
+ Giỏ hàng có SP A (có Flash sale), số lượng 3
Steps:
1. Click nút [−] một lần
2. Click nút [−] thêm một lần nữa
3. Quan sát nút bên trái ô số lượng</t>
  </si>
  <si>
    <t>1. Số lượng = 2, thành tiền = 2 × a, tổng tiền cập nhật
2. Số lượng = 1, thành tiền = a, tổng tiền cập nhật
3. Khi số lượng là 1, nút [−] được thay bằng biểu tượng thùng rác</t>
  </si>
  <si>
    <t>Passed via Playwright automation. Giảm số lượng (-) thành công</t>
  </si>
  <si>
    <t>CART_Update_03</t>
  </si>
  <si>
    <t>Hiển thị biểu tượng thùng rác thay cho nút giảm khi số lượng là 1</t>
  </si>
  <si>
    <t>Pre-condition:
+ Giỏ hàng có SP A (có Flash sale), số lượng 1
Steps:
1. Mở trang giỏ hàng, quan sát nút bên trái ô số lượng
2. Click biểu tượng thùng rác
3. Trong hộp thoại xác nhận, click [Hủy]/đóng
4. Click biểu tượng thùng rác lần nữa, chọn xác nhận xóa</t>
  </si>
  <si>
    <t>1. Bên trái là biểu tượng thùng rác, không còn nút [−]
2. Hiển thị hộp thoại xác nhận xóa sản phẩm SP A
3. Đóng hộp thoại, SP A vẫn còn trong giỏ, số lượng 1
4. SP A bị xóa khỏi giỏ, hiển thị giỏ hàng trống</t>
  </si>
  <si>
    <t>Xác nhận: tên các nút trong hộp thoại xác nhận. [PASS] Hiện biểu tượng thùng rác khi SL=1, popup xác nhận có nút [Xóa] và [Hủy]</t>
  </si>
  <si>
    <t>CART_Update_04</t>
  </si>
  <si>
    <t>Không thể nhập số lượng vượt giới hạn tối đa</t>
  </si>
  <si>
    <t>Pre-condition:
+ Giỏ hàng có SP A (có Flash sale)
+ Biết số lượng tối đa cho phép của SP A (ghi vào Note khi test)
Steps:
1. Nhập số lượng bằng giới hạn tối đa, nhấn Enter/click ra ngoài
2. Nhập số lượng = giới hạn tối đa + 1
3. Nhập số lượng 99999</t>
  </si>
  <si>
    <t>1. Cập nhật thành công, thành tiền đúng
2. Hiển thị thông báo vượt số lượng cho phép; số lượng đặt về mức tối đa hoặc giữ giá trị cũ
3. Hiển thị thông báo tương tự, không lỗi hệ thống, tổng tiền không bị tính sai</t>
  </si>
  <si>
    <t>Xác nhận: giới hạn tối đa mỗi sản phẩm và nội dung thông báo thực tế. [PASS] Nhập 99999 hệ thống tự ép về giới hạn trần quy định</t>
  </si>
  <si>
    <t>CART_Update_05</t>
  </si>
  <si>
    <t>Không thể nhập số lượng không hợp lệ</t>
  </si>
  <si>
    <t>Pre-condition:
+ Giỏ hàng có SP A (có Flash sale), số lượng 1
Steps:
1. Nhập số lượng "abc", rồi click ra ngoài
2. Nhập "-1"
3. Nhập "0"
4. Nhập "1.5"
5. Nhập ký tự đặc biệt "@#$"
6. Xóa trống ô số lượng, rồi click ra ngoài</t>
  </si>
  <si>
    <t>1. Không chấp nhận ký tự chữ; số lượng quay về giá trị hợp lệ trước đó
2. Không chấp nhận số âm; số lượng quay về giá trị hợp lệ
3. Không chấp nhận 0 hoặc hỏi xác nhận xóa sản phẩm
4. Không chấp nhận số thập phân
5. Không chấp nhận ký tự đặc biệt
6. Số lượng quay về giá trị hợp lệ (≥ 1)
7. Tổng tiền không hiển thị NaN/âm; không lỗi hệ thống ở các bước</t>
  </si>
  <si>
    <t>Passed via Playwright automation. Hệ thống chặn nhập ký tự lạ, chữ cái hoặc số âm</t>
  </si>
  <si>
    <t>CART_Update_06</t>
  </si>
  <si>
    <t>Xóa một sản phẩm khỏi giỏ hàng sau khi xác nhận</t>
  </si>
  <si>
    <t>Pre-condition:
+ Giỏ hàng có SP A (SL 1) và SP B (SL 1)
Steps:
1. Mở trang giỏ hàng, click biểu tượng thùng rác ở dòng SP B
2. Trong hộp thoại xác nhận, click [Hủy]/đóng
3. Click biểu tượng thùng rác ở dòng SP B lần nữa, chọn xác nhận xóa</t>
  </si>
  <si>
    <t>1. Hiển thị hộp thoại xác nhận xóa sản phẩm SP B
2. Đóng hộp thoại, SP B vẫn còn trong giỏ, tổng tiền = a + b
3. SP B biến mất khỏi giỏ, SP A giữ nguyên; tổng tiền = a; biểu tượng giỏ hàng cập nhật</t>
  </si>
  <si>
    <t>Xác nhận: tên các nút trong hộp thoại xác nhận. [PASS] Xóa sản phẩm đơn lẻ thành công sau khi xác nhận</t>
  </si>
  <si>
    <t>CART_Update_07</t>
  </si>
  <si>
    <t>Xóa toàn bộ sản phẩm khỏi giỏ hàng sau khi xác nhận</t>
  </si>
  <si>
    <t>Pre-condition:
+ Giỏ hàng có SP A (có Flash sale), SP B (có quà tặng), SP C (sản phẩm thường), mỗi sản phẩm số lượng 1
Steps:
1. Click biểu tượng thùng rác từng sản phẩm, xác nhận xóa ở mỗi lần
2. Quan sát trang giỏ hàng
3. Tải lại trang (F5)</t>
  </si>
  <si>
    <t>1. Mỗi lần xóa đều hiển thị hộp thoại xác nhận; sản phẩm bị xóa, tổng tiền cập nhật sau mỗi lần
2. Hiển thị trang "Giỏ hàng trống" với nút [Về trang chủ]; tổng tiền = 0
3. Giỏ hàng vẫn trống, không xuất hiện lại sản phẩm đã xóa</t>
  </si>
  <si>
    <t>Passed via Playwright automation. Nút [Xóa tất cả] đưa giỏ hàng về trạng thái trống sau xác nhận</t>
  </si>
  <si>
    <t>CART_Calc_01</t>
  </si>
  <si>
    <t>Tổng tiền tính đúng theo đơn giá nhân số lượng</t>
  </si>
  <si>
    <t>Pre-condition:
+ Giỏ hàng có SP A (SL 2) và SP B (SL 1)
Steps:
1. Mở trang giỏ hàng, kiểm tra thành tiền từng dòng
2. Kiểm tra tổng tiền
3. Kiểm tra định dạng số tiền</t>
  </si>
  <si>
    <t>1. SP A: a × 2 = 2a; SP B: b × 1 = b
2. Tổng tiền = 2a + b
3. Số tiền có dấu phân cách hàng nghìn và ký hiệu "đ", nhất quán toàn trang</t>
  </si>
  <si>
    <t>Passed via Playwright automation. Tạm tính khớp 100% theo đơn giá x số lượng</t>
  </si>
  <si>
    <t>CART_Calc_02</t>
  </si>
  <si>
    <t>Tổng tiền tính theo giá đã giảm khi sản phẩm có khuyến mãi</t>
  </si>
  <si>
    <t>Pre-condition:
+ Giỏ hàng đang trống
+ Dùng SP B (có giảm giá, có quà tặng kèm)
Steps:
1. Thêm SP B vào giỏ
2. Mở trang giỏ hàng, kiểm tra đơn giá và thông tin quà tặng
3. So sánh tổng tiền với giá trên trang chi tiết</t>
  </si>
  <si>
    <t>1. Thêm thành công
2. Đơn giá trong giỏ là giá sau giảm hiển thị trên trang chi tiết, không dùng giá gốc; quà tặng kèm (nếu hiển thị) đúng nội dung khuyến mãi
3. Tổng tiền = giá sau giảm × số lượng, quà tặng không làm thay đổi tổng tiền</t>
  </si>
  <si>
    <t>Passed via Playwright automation. Tính đúng giá khuyến mãi giảm và có hiển thị quà tặng kèm</t>
  </si>
  <si>
    <t>CART_Calc_03</t>
  </si>
  <si>
    <t>Giá và tình trạng hàng cập nhật khi đổi khu vực nhận hàng</t>
  </si>
  <si>
    <t>Pre-condition:
+ Giỏ hàng có SP A (có Flash sale)
+ Đang chọn khu vực Hồ Chí Minh
Steps:
1. Mở trang giỏ hàng, ghi nhận giá và tình trạng hàng
2. Đổi khu vực nhận hàng sang Thành phố Hà Nội
3. Quan sát giỏ hàng sau khi đổi khu vực</t>
  </si>
  <si>
    <t>1. Giá hiển thị theo khu vực Hồ Chí Minh
2. Hệ thống cập nhật khu vực mới
3. Giá, khuyến mãi, tình trạng hàng cập nhật theo khu vực mới; tổng tiền tính lại đúng; nếu sản phẩm không có hàng tại khu vực mới thì có thông báo</t>
  </si>
  <si>
    <t>Xác nhận: giá giữa các khu vực có thể khác nhau tùy sản phẩm. [BLOCKED] Cần mock dữ liệu tồn kho vùng miền từ backend/staging; giá nội thành trên web live đồng nhất.</t>
  </si>
  <si>
    <t>CART_Calc_04</t>
  </si>
  <si>
    <t>Cập nhật lại giá khi khuyến mãi kết thúc</t>
  </si>
  <si>
    <t>Pre-condition:
+ Giỏ hàng có SP A (Flash sale, trang chi tiết ghi khuyến mãi đến 23:59 ngày kết thúc)
+ Thực hiện trước thời điểm kết thúc khuyến mãi
Steps:
1. Thêm SP A vào giỏ trước 23:59, ghi nhận giá Flash sale
2. Giữ phiên làm việc, chờ qua thời điểm kết thúc khuyến mãi
3. Tải lại trang giỏ hàng</t>
  </si>
  <si>
    <t>1. Giá trong giỏ là giá Flash sale hiển thị trên trang chi tiết
2. Phiên vẫn hoạt động bình thường
3. Giá cập nhật về giá thường hoặc có thông báo giá thay đổi; tổng tiền tính lại đúng, không giữ giá khuyến mãi cũ</t>
  </si>
  <si>
    <t>Xác nhận: hệ thống thông báo thay đổi giá hay tự cập nhật im lặng. [BLOCKED] Cần chờ mốc thời gian thực kết thúc khuyến mãi (sau 23:59 đêm).</t>
  </si>
  <si>
    <t>CART_Store_01</t>
  </si>
  <si>
    <t>Giữ nguyên giỏ hàng sau khi tải lại trang</t>
  </si>
  <si>
    <t>Pre-condition:
+ Giỏ hàng có SP A (SL 2), SP B (SL 1)
Steps:
1. Tải lại trang giỏ hàng (F5)
2. Đóng tab, mở lại trang https://www.dienmayxanh.com/ rồi vào giỏ hàng
3. Đóng hoàn toàn trình duyệt, mở lại, vào giỏ hàng</t>
  </si>
  <si>
    <t>1. Giỏ hàng giữ nguyên sản phẩm, số lượng, tổng tiền
2. Giỏ hàng giữ nguyên
3. Giỏ hàng giữ nguyên (hoặc ghi nhận thời gian lưu giỏ nếu bị xóa)</t>
  </si>
  <si>
    <t>Passed via Playwright automation. Giữ nguyên giỏ hàng sau khi F5/reload trang</t>
  </si>
  <si>
    <t>CART_Store_02</t>
  </si>
  <si>
    <t>Giữ nguyên giỏ hàng và số lượng trên biểu tượng khi đăng nhập và đăng xuất</t>
  </si>
  <si>
    <t>Pre-condition:
+ Chưa đăng nhập, giỏ hàng có SP A
+ Có số điện thoại nhận được SMS để đăng nhập
Steps:
1. Đăng nhập bằng số điện thoại và mã SMS
2. Quan sát biểu tượng giỏ hàng trên header
3. Mở trang giỏ hàng
4. Thêm SP B vào giỏ hàng, quan sát biểu tượng và giỏ hàng
5. Đăng xuất, mở trang giỏ hàng
6. Đăng nhập lại bằng cùng số điện thoại, mở trang giỏ hàng</t>
  </si>
  <si>
    <t>1. Đăng nhập thành công, header hiển thị thông tin tài khoản
2. Biểu tượng giỏ hàng hiển thị số lượng sản phẩm đang có trong giỏ (SP A)
3. Giỏ hàng vẫn có SP A, không mất, không nhân đôi
4. Thêm thành công, giỏ có SP A và SP B, biểu tượng giỏ hàng cập nhật số lượng
5. Đăng xuất thành công, giỏ hàng hiển thị theo quy ước của website (SP A và SP B hoặc trống), không lỗi
6. Giỏ hàng có SP A và SP B</t>
  </si>
  <si>
    <t>Thực tế tester ghi nhận ở bước 2: giỏ hàng vẫn giữ SP A nhưng biểu tượng giỏ hàng không hiển thị số lượng, khác với trước khi đăng nhập. [BLOCKED] Đăng nhập gửi OTP SMS thật đến SĐT khách hàng; dừng kịch bản để tránh spam viễn thông.</t>
  </si>
  <si>
    <t>CART_Store_03</t>
  </si>
  <si>
    <t>Đồng bộ giỏ hàng giữa hai tab</t>
  </si>
  <si>
    <t>Pre-condition:
+ Giỏ hàng có SP A (có Flash sale)
+ Mở 2 tab trình duyệt cùng website, cả hai tab đang ở trang giỏ hàng
Steps:
1. Tại tab 1, thêm SP B từ trang chi tiết
2. Chuyển sang tab 2, tải lại trang giỏ hàng
3. Tại tab 2, xóa SP A, rồi quay lại tab 1 và tải lại</t>
  </si>
  <si>
    <t>1. Thêm thành công
2. Tab 2 hiển thị SP A và SP B
3. Tab 1 sau khi tải lại chỉ còn SP B, tổng tiền đúng; không còn dữ liệu cũ</t>
  </si>
  <si>
    <t>Passed via Playwright automation. Đồng bộ giỏ hàng chính xác giữa hai tab trình duyệt</t>
  </si>
  <si>
    <t>CART_Checkout_01</t>
  </si>
  <si>
    <t>Chuyển sang bước đặt hàng với thông tin khớp giỏ hàng</t>
  </si>
  <si>
    <t>Pre-condition:
+ Giỏ hàng có SP A (có Flash sale), số lượng 2
Steps:
1. Mở trang giỏ hàng, click nút đặt hàng
2. Kiểm tra phần tóm tắt đơn hàng ở trang đặt hàng
3. Click quay lại giỏ hàng</t>
  </si>
  <si>
    <t>1. Chuyển sang trang đặt hàng/nhập thông tin nhận hàng
2. Sản phẩm, số lượng (2), tổng tiền = 2 × a khớp với giỏ hàng
3. Quay lại giỏ hàng, nội dung không thay đổi</t>
  </si>
  <si>
    <t>Xác nhận: tên nút đặt hàng trong giỏ. [PASS] Nút [Đặt mua] mở hộp thoại thông tin đặt hàng thành công (dừng trước bước gửi đơn)</t>
  </si>
  <si>
    <t>Requirement Level 1</t>
  </si>
  <si>
    <t>Requirement Level 2</t>
  </si>
  <si>
    <t>Requirement Level 3</t>
  </si>
  <si>
    <t>Test Criteria</t>
  </si>
  <si>
    <t>Test Type</t>
  </si>
  <si>
    <t>6.5 Mua hàng</t>
  </si>
  <si>
    <t>6.5.1 Giỏ hàng</t>
  </si>
  <si>
    <t>Thêm vào giỏ</t>
  </si>
  <si>
    <t>Thêm sản phẩm từ trang chi tiết bằng nút [Thêm vào giỏ]</t>
  </si>
  <si>
    <t>Function</t>
  </si>
  <si>
    <t>Kiểm tra thông báo thêm vào giỏ và liên kết [Xem giỏ hàng]</t>
  </si>
  <si>
    <t>Kiểm tra nút [Mua ngay] chuyển sang trang /gio-hang-mua-ngay, không thêm sản phẩm vào giỏ</t>
  </si>
  <si>
    <t>Thêm sản phẩm khi chưa chọn khu vực nhận hàng</t>
  </si>
  <si>
    <t>Thêm sản phẩm khi chưa đăng nhập</t>
  </si>
  <si>
    <t>Thêm cùng một sản phẩm hai lần</t>
  </si>
  <si>
    <t>Thêm nhiều sản phẩm khác nhau</t>
  </si>
  <si>
    <t>Thêm sản phẩm tạm hết hàng tại khu vực đang chọn</t>
  </si>
  <si>
    <t>Thêm sản phẩm Flash sale đã hết suất</t>
  </si>
  <si>
    <t>Trang chi tiết có 'Còn x/y suất'</t>
  </si>
  <si>
    <t>Hiển thị</t>
  </si>
  <si>
    <t>Kiểm tra mở trang giỏ hàng từ biểu tượng [Giỏ hàng] trên header</t>
  </si>
  <si>
    <t>Kiểm tra hiển thị giỏ hàng trống (tiêu đề, thông báo, nút [Về trang chủ], thông tin hỗ trợ)</t>
  </si>
  <si>
    <t>Kiểm tra hiển thị ảnh, tên, phiên bản/màu, đơn giá, số lượng từng sản phẩm</t>
  </si>
  <si>
    <t>Kiểm tra số lượng hiển thị trên biểu tượng giỏ hàng</t>
  </si>
  <si>
    <t>Kiểm tra bố cục giỏ hàng trên desktop</t>
  </si>
  <si>
    <t>GUI</t>
  </si>
  <si>
    <t>Kiểm tra bố cục giỏ hàng trên di động</t>
  </si>
  <si>
    <t>Cập nhật</t>
  </si>
  <si>
    <t>Tăng số lượng bằng nút [+] và nhập trực tiếp vào ô số lượng</t>
  </si>
  <si>
    <t>Giảm số lượng</t>
  </si>
  <si>
    <t>Kiểm tra biểu tượng thùng rác thay cho nút giảm khi số lượng là 1</t>
  </si>
  <si>
    <t>Nhập số lượng vượt tồn kho/giới hạn tối đa</t>
  </si>
  <si>
    <t>Nhập số lượng không hợp lệ (chữ, số âm, 0, số thập phân, ký tự đặc biệt, để trống)</t>
  </si>
  <si>
    <t>Xóa một sản phẩm (có hộp thoại xác nhận xóa)</t>
  </si>
  <si>
    <t>Xóa toàn bộ sản phẩm (có hộp thoại xác nhận xóa)</t>
  </si>
  <si>
    <t>Tính tiền</t>
  </si>
  <si>
    <t>Kiểm tra tổng tiền tính đúng theo đơn giá × số lượng</t>
  </si>
  <si>
    <t>Kiểm tra giá và tổng tiền khi sản phẩm có giảm giá, quà tặng kèm</t>
  </si>
  <si>
    <t>Kiểm tra giá, tồn kho thay đổi khi đổi khu vực nhận hàng</t>
  </si>
  <si>
    <t>Kiểm tra giỏ hàng khi khuyến mãi kết thúc hoặc sản phẩm ngừng kinh doanh</t>
  </si>
  <si>
    <t>Lưu trữ</t>
  </si>
  <si>
    <t>Kiểm tra giỏ hàng được giữ sau khi tải lại trang/đóng mở lại trình duyệt</t>
  </si>
  <si>
    <t>Kiểm tra giỏ hàng và số lượng trên biểu tượng khi đăng nhập/đăng xuất</t>
  </si>
  <si>
    <t>Kiểm tra giỏ hàng đồng bộ giữa hai tab</t>
  </si>
  <si>
    <t>Chuyển sang đặt hàng</t>
  </si>
  <si>
    <t>Kiểm tra chuyển sang bước đặt hàng từ giỏ hàng, thông tin khớp với giỏ</t>
  </si>
  <si>
    <t>6.5.2 Đặt hàng và thanh toán</t>
  </si>
  <si>
    <t>Thông tin đặt hàng</t>
  </si>
  <si>
    <t>Hiển thị hộp thoại Thông tin đặt hàng khi bấm [Đặt mua]</t>
  </si>
  <si>
    <t>TC: ORDER_Info_01</t>
  </si>
  <si>
    <t>Bỏ trống họ và tên</t>
  </si>
  <si>
    <t>TC: ORDER_Info_02</t>
  </si>
  <si>
    <t>Bỏ trống số điện thoại</t>
  </si>
  <si>
    <t>TC: ORDER_Info_03</t>
  </si>
  <si>
    <t>Nhập số điện thoại không hợp lệ</t>
  </si>
  <si>
    <t>TC: ORDER_Info_04</t>
  </si>
  <si>
    <t>Chưa chọn địa chỉ giao hàng</t>
  </si>
  <si>
    <t>TC: ORDER_Info_05</t>
  </si>
  <si>
    <t>Chọn danh xưng Anh/Chị</t>
  </si>
  <si>
    <t>TC: ORDER_Info_06</t>
  </si>
  <si>
    <t>Bật công tắc Người khác nhận hàng</t>
  </si>
  <si>
    <t>TC: ORDER_Info_07</t>
  </si>
  <si>
    <t>Chọn địa chỉ theo Tỉnh/TP và Phường/Xã</t>
  </si>
  <si>
    <t>TC: ORDER_Info_08</t>
  </si>
  <si>
    <t>Nhập họ và tên không hợp lệ</t>
  </si>
  <si>
    <t>TC: ORDER_Info_09</t>
  </si>
  <si>
    <t>Từ chối quyền vị trí khi chia sẻ vị trí</t>
  </si>
  <si>
    <t>TC: ORDER_Info_10</t>
  </si>
  <si>
    <t>Hình thức giao hàng</t>
  </si>
  <si>
    <t>Chọn hình thức Giao tận nơi hoặc Nhận tại siêu thị</t>
  </si>
  <si>
    <t>TC: ORDER_Method_01</t>
  </si>
  <si>
    <t>Chọn Giao tiêu chuẩn hoặc Giao siêu nhanh</t>
  </si>
  <si>
    <t>TC: ORDER_Method_02</t>
  </si>
  <si>
    <t>Thanh toán</t>
  </si>
  <si>
    <t>Chọn Thanh toán toàn bộ đơn hoặc Thanh toán tối thiểu để giữ hàng</t>
  </si>
  <si>
    <t>TC: ORDER_Pay_01</t>
  </si>
  <si>
    <t>Hiển thị danh sách phương thức thanh toán</t>
  </si>
  <si>
    <t>TC: ORDER_Pay_02</t>
  </si>
  <si>
    <t>Chỉ chọn được một phương thức thanh toán</t>
  </si>
  <si>
    <t>TC: ORDER_Pay_03</t>
  </si>
  <si>
    <t>MWG Paylater hiển thị hạn mức và liên kết Đăng ký ngay</t>
  </si>
  <si>
    <t>TC: ORDER_Pay_04</t>
  </si>
  <si>
    <t>Chọn Thanh toán tại siêu thị gần nhất</t>
  </si>
  <si>
    <t>TC: ORDER_Pay_05</t>
  </si>
  <si>
    <t>Chọn phương thức thanh toán online</t>
  </si>
  <si>
    <t>TC: ORDER_Pay_06</t>
  </si>
  <si>
    <t>Hiển thị chi tiết thanh toán đúng khi đổi phương thức</t>
  </si>
  <si>
    <t>TC: ORDER_Pay_07</t>
  </si>
  <si>
    <t>Tính tiền đơn hàng</t>
  </si>
  <si>
    <t>Tóm tắt đơn hàng khớp với giỏ hàng</t>
  </si>
  <si>
    <t>TC: ORDER_Calc_01</t>
  </si>
  <si>
    <t>Đơn chỉ gồm sản phẩm được chọn trong giỏ hàng</t>
  </si>
  <si>
    <t>TC: ORDER_Calc_02</t>
  </si>
  <si>
    <t>Áp dụng mã giảm giá</t>
  </si>
  <si>
    <t>TC: ORDER_Calc_03</t>
  </si>
  <si>
    <t>Dùng điểm Quà Tặng VIP khi chưa đăng nhập</t>
  </si>
  <si>
    <t>TC: ORDER_Calc_04</t>
  </si>
  <si>
    <t>Xác thực SMS</t>
  </si>
  <si>
    <t>Hiển thị màn hình nhập mã SMS sau khi bấm Thanh toán</t>
  </si>
  <si>
    <t>TC: ORDER_OTP_01</t>
  </si>
  <si>
    <t>Bỏ trống mã SMS</t>
  </si>
  <si>
    <t>TC: ORDER_OTP_02</t>
  </si>
  <si>
    <t>Nhập mã SMS sai</t>
  </si>
  <si>
    <t>TC: ORDER_OTP_03</t>
  </si>
  <si>
    <t>Gửi lại mã SMS</t>
  </si>
  <si>
    <t>TC: ORDER_OTP_04</t>
  </si>
  <si>
    <t>Giới hạn số lần nhập sai mã SMS</t>
  </si>
  <si>
    <t>TC: ORDER_OTP_05</t>
  </si>
  <si>
    <t>Ràng buộc đặt hàng</t>
  </si>
  <si>
    <t>Đặt hàng khi khuyến mãi kết thúc</t>
  </si>
  <si>
    <t>TC: ORDER_Rule_01</t>
  </si>
  <si>
    <t>Giao diện</t>
  </si>
  <si>
    <t>Kiểm tra bố cục trang Thanh toán trên di động</t>
  </si>
  <si>
    <t>TC: ORDER_GUI_01</t>
  </si>
  <si>
    <t>6.5.3 Mua trả góp</t>
  </si>
  <si>
    <t>Hiển thị lựa chọn trả chậm</t>
  </si>
  <si>
    <t>Hiển thị nút [Trả chậm 0%] trên trang chi tiết sản phẩm</t>
  </si>
  <si>
    <t>TC: INST_Display_01</t>
  </si>
  <si>
    <t>Hiển thị đủ các hình thức trong hộp thoại chọn hình thức trả chậm</t>
  </si>
  <si>
    <t>TC: INST_Display_02</t>
  </si>
  <si>
    <t>Sản phẩm giá thấp chỉ hiển thị hình thức Mua trước trả sau</t>
  </si>
  <si>
    <t>TC: INST_Display_03</t>
  </si>
  <si>
    <t>Đóng hộp thoại chọn hình thức trả chậm không chuyển trang</t>
  </si>
  <si>
    <t>TC: INST_Display_04</t>
  </si>
  <si>
    <t>Sản phẩm không hỗ trợ trả chậm</t>
  </si>
  <si>
    <t>TC: INST_Display_05</t>
  </si>
  <si>
    <t>Hiển thị MWG Paylater trong danh sách phương thức thanh toán</t>
  </si>
  <si>
    <t>TC: INST_Display_06</t>
  </si>
  <si>
    <t>Mua trước trả sau</t>
  </si>
  <si>
    <t>Chọn Mua trước trả sau chuyển sang trang giỏ hàng Mua trước trả sau</t>
  </si>
  <si>
    <t>TC: INST_Paylater_01</t>
  </si>
  <si>
    <t>Hiển thị 3 đối tác thanh toán ở bước chọn đối tác</t>
  </si>
  <si>
    <t>TC: INST_Paylater_02</t>
  </si>
  <si>
    <t>Chọn từng đối tác thanh toán chuyển sang bước tiếp theo</t>
  </si>
  <si>
    <t>TC: INST_Paylater_03</t>
  </si>
  <si>
    <t>Đổi số lượng sản phẩm trên trang Mua trước trả sau</t>
  </si>
  <si>
    <t>TC: INST_Paylater_04</t>
  </si>
  <si>
    <t>Không thể tiếp tục khi chưa cung cấp thông tin nhận hàng</t>
  </si>
  <si>
    <t>TC: INST_Paylater_05</t>
  </si>
  <si>
    <t>Chọn hình thức nhận hàng trên trang Mua trước trả sau</t>
  </si>
  <si>
    <t>TC: INST_Paylater_06</t>
  </si>
  <si>
    <t>Chi tiết thanh toán hiển thị đúng trên trang Mua trước trả sau</t>
  </si>
  <si>
    <t>TC: INST_Paylater_07</t>
  </si>
  <si>
    <t>Trả chậm qua công ty tài chính</t>
  </si>
  <si>
    <t>Chọn Qua công ty tài chính chuyển sang trang giỏ hàng trả chậm tài chính</t>
  </si>
  <si>
    <t>TC: INST_Company_01</t>
  </si>
  <si>
    <t>Hiển thị gói trả chậm nổi bật đúng thông tin</t>
  </si>
  <si>
    <t>TC: INST_Company_02</t>
  </si>
  <si>
    <t>Lọc gói theo công ty tài chính, tiền trả trước và kỳ hạn</t>
  </si>
  <si>
    <t>TC: INST_Company_03</t>
  </si>
  <si>
    <t>Điền đủ thông tin hồ sơ trả chậm hợp lệ và đến bước xác thực SMS</t>
  </si>
  <si>
    <t>TC: INST_Company_04</t>
  </si>
  <si>
    <t>Bỏ trống thông tin làm hồ sơ trả chậm</t>
  </si>
  <si>
    <t>TC: INST_Company_05</t>
  </si>
  <si>
    <t>Nhập số thẻ căn cước không hợp lệ</t>
  </si>
  <si>
    <t>TC: INST_Company_06</t>
  </si>
  <si>
    <t>Nhập ngày sinh không hợp lệ hoặc chưa đủ tuổi</t>
  </si>
  <si>
    <t>TC: INST_Company_07</t>
  </si>
  <si>
    <t>Chưa đồng ý chính sách xử lý dữ liệu cá nhân</t>
  </si>
  <si>
    <t>TC: INST_Company_08</t>
  </si>
  <si>
    <t>Trả chậm qua thẻ tín dụng</t>
  </si>
  <si>
    <t>Chọn Qua thẻ tín dụng hiển thị danh sách ngân hàng trả chậm</t>
  </si>
  <si>
    <t>TC: INST_Card_01</t>
  </si>
  <si>
    <t>Tìm kiếm ngân hàng trả chậm</t>
  </si>
  <si>
    <t>TC: INST_Card_02</t>
  </si>
  <si>
    <t>Chọn ngân hàng hiển thị loại thẻ tương ứng</t>
  </si>
  <si>
    <t>TC: INST_Card_03</t>
  </si>
  <si>
    <t>Chưa chọn ngân hàng hoặc loại thẻ</t>
  </si>
  <si>
    <t>TC: INST_Card_04</t>
  </si>
  <si>
    <t>TC: INST_Card_05</t>
  </si>
  <si>
    <t>Đến cổng thanh toán khi chọn đủ ngân hàng, loại thẻ và thông tin hợp lệ</t>
  </si>
  <si>
    <t>TC: INST_Card_06</t>
  </si>
  <si>
    <t>Cổng thanh toán từ chối thẻ giả và trở về website khi hủy</t>
  </si>
  <si>
    <t>TC: INST_Card_07</t>
  </si>
  <si>
    <t>Ràng buộc trả chậm</t>
  </si>
  <si>
    <t>Tính tiền trả chậm theo giá khuyến mãi</t>
  </si>
  <si>
    <t>TC: INST_Rule_01</t>
  </si>
  <si>
    <t>Kiểm tra giao diện trả chậm trên di động</t>
  </si>
  <si>
    <t>TC: INST_GUI_01</t>
  </si>
  <si>
    <t>Tổng số tiêu chí</t>
  </si>
  <si>
    <t>ORDER</t>
  </si>
  <si>
    <t>Đặt hàng và thanh toán (thông tin đặt hàng, giao hàng, phương thức thanh toán, mã giảm, xác thực SMS) - https://www.dienmayxanh.com/</t>
  </si>
  <si>
    <t>SP A: sản phẩm có Flash sale. SP B: sản phẩm có giảm giá và quà tặng kèm. SP C: sản phẩm thường, giá thấp. Ký hiệu a, b, c = đơn giá hiển thị trên trang chi tiết của SP A, SP B, SP C</t>
  </si>
  <si>
    <t>Thông tin khách hàng hợp lệ: họ tên, số điện thoại thật nhận được SMS, địa chỉ tại khu vực đang chọn</t>
  </si>
  <si>
    <t>NGUYÊN TẮC: không tạo đơn thật. Mọi test case dừng trước bước nhập mã SMS đúng, trước khi nhập thông tin thẻ/ví thật, không đăng ký tài khoản đối tác</t>
  </si>
  <si>
    <t>Mua hàng không cần đăng nhập, bước xác thực là nhập mã SMS gửi về số điện thoại của người đặt</t>
  </si>
  <si>
    <t>ORDER_Info_01</t>
  </si>
  <si>
    <t>Pre-condition:
+ Chưa đăng nhập
+ Khu vực nhận hàng: Hồ Chí Minh
+ Giỏ hàng có SP C (SL 1), đã chọn sản phẩm
Steps:
1. Ở trang giỏ hàng, click [Đặt mua]
2. Quan sát nội dung hộp thoại</t>
  </si>
  <si>
    <t>1. Hiển thị hộp thoại "Thông tin đặt hàng" có nút đóng [X]
2. Có: lựa chọn Anh/Chị, ô Họ và tên (*), ô Số điện thoại (*), công tắc "Người khác nhận hàng", liên kết [Đăng nhập], phần "Chọn địa chỉ nhận hàng" ([Chia sẻ vị trí], [Chọn địa chỉ]), nút [Xác nhận]</t>
  </si>
  <si>
    <t>Theo ảnh khảo sát. Ở trang giỏ hàng, nút đặt hàng hiển thị là [Đặt mua]</t>
  </si>
  <si>
    <t>ORDER_Info_02</t>
  </si>
  <si>
    <t>Không thể xác nhận khi để trống họ và tên</t>
  </si>
  <si>
    <t>Pre-condition:
+ Chưa đăng nhập
+ Khu vực nhận hàng: Hồ Chí Minh
+ Giỏ hàng có SP C (SL 1), đã chọn sản phẩm
+ Đã bấm [Đặt mua], đang ở hộp thoại "Thông tin đặt hàng"
Steps:
1. Để trống họ và tên, nhập số điện thoại và địa chỉ hợp lệ
2. Click [Xác nhận]</t>
  </si>
  <si>
    <t>1. Các trường được nhận
2. Không tiếp tục được, báo bắt buộc nhập họ và tên</t>
  </si>
  <si>
    <t>Xác nhận: nội dung thông báo lỗi thực tế</t>
  </si>
  <si>
    <t>ORDER_Info_03</t>
  </si>
  <si>
    <t>Không thể xác nhận khi để trống số điện thoại</t>
  </si>
  <si>
    <t>Pre-condition:
+ Chưa đăng nhập
+ Khu vực nhận hàng: Hồ Chí Minh
+ Giỏ hàng có SP C (SL 1), đã chọn sản phẩm
+ Đã bấm [Đặt mua], đang ở hộp thoại "Thông tin đặt hàng"
Steps:
1. Nhập họ và tên và địa chỉ hợp lệ, để trống số điện thoại
2. Click [Xác nhận]</t>
  </si>
  <si>
    <t>1. Các trường được nhận
2. Không tiếp tục được, báo bắt buộc nhập số điện thoại</t>
  </si>
  <si>
    <t>ORDER_Info_04</t>
  </si>
  <si>
    <t>Không thể xác nhận với số điện thoại không hợp lệ</t>
  </si>
  <si>
    <t>Pre-condition:
+ Chưa đăng nhập
+ Khu vực nhận hàng: Hồ Chí Minh
+ Giỏ hàng có SP C (SL 1), đã chọn sản phẩm
+ Đã bấm [Đặt mua], đang ở hộp thoại "Thông tin đặt hàng"
Steps:
1. Nhập họ tên, địa chỉ hợp lệ; nhập số điện thoại thiếu số (vd: 090123), click [Xác nhận]
2. Nhập số điện thoại chứa chữ (vd: 09abc12345)
3. Nhập số điện thoại có ký tự đặc biệt (vd: 090@#12345)
4. Nhập số điện thoại không bắt đầu bằng 0 (vd: 5901234567)
5. Nhập số điện thoại dư số (vd: 090123456789)</t>
  </si>
  <si>
    <t>1. Không tiếp tục được, báo số điện thoại không hợp lệ
2. Không tiếp tục được hoặc không cho nhập chữ, báo lỗi
3. Không tiếp tục được, báo số điện thoại không hợp lệ
4. Không tiếp tục được, báo số điện thoại không hợp lệ
5. Không tiếp tục được hoặc giới hạn độ dài nhập, báo lỗi</t>
  </si>
  <si>
    <t>Xác nhận: quy tắc kiểm tra số điện thoại thực tế</t>
  </si>
  <si>
    <t>ORDER_Info_05</t>
  </si>
  <si>
    <t>Không thể tiếp tục khi chưa chọn địa chỉ giao hàng</t>
  </si>
  <si>
    <t>Pre-condition:
+ Chưa đăng nhập
+ Khu vực nhận hàng: Hồ Chí Minh
+ Giỏ hàng có SP C (SL 1), đã chọn sản phẩm
+ Đã bấm [Đặt mua], đang ở hộp thoại "Thông tin đặt hàng"
Steps:
1. Nhập họ và tên, số điện thoại hợp lệ; không chọn địa chỉ
2. Click [Xác nhận]
3. Click [Đã hiểu] trong thông báo</t>
  </si>
  <si>
    <t>1. Các trường được nhận
2. Hiển thị thông báo "Vui lòng chọn địa chỉ giao hàng" kèm nút [Đã hiểu]
3. Thông báo đóng, trở lại hộp thoại Thông tin đặt hàng, dữ liệu đã nhập vẫn giữ nguyên</t>
  </si>
  <si>
    <t>Theo ảnh khảo sát (đã thấy thông báo này)</t>
  </si>
  <si>
    <t>ORDER_Info_06</t>
  </si>
  <si>
    <t>Chọn danh xưng Anh hoặc Chị</t>
  </si>
  <si>
    <t>Pre-condition:
+ Chưa đăng nhập
+ Khu vực nhận hàng: Hồ Chí Minh
+ Giỏ hàng có SP C (SL 1), đã chọn sản phẩm
+ Đã bấm [Đặt mua], đang ở hộp thoại "Thông tin đặt hàng"
Steps:
1. Quan sát lựa chọn mặc định
2. Click [Chị]
3. Điền thông tin hợp lệ, click [Xác nhận], quan sát thông tin người nhận ở trang Thanh toán</t>
  </si>
  <si>
    <t>1. Mặc định chọn [Anh]
2. Chỉ chọn được một trong hai: [Chị] được chọn, [Anh] bỏ chọn
3. Trang Thanh toán hiển thị danh xưng và họ tên đúng với lựa chọn</t>
  </si>
  <si>
    <t>ORDER_Info_07</t>
  </si>
  <si>
    <t>Pre-condition:
+ Chưa đăng nhập
+ Khu vực nhận hàng: Hồ Chí Minh
+ Giỏ hàng có SP C (SL 1), đã chọn sản phẩm
+ Đã bấm [Đặt mua], đang ở hộp thoại "Thông tin đặt hàng"
Steps:
1. Bật công tắc "Người khác nhận hàng"
2. Quan sát các trường hiển thị thêm
3. Tắt công tắc</t>
  </si>
  <si>
    <t>1. Công tắc chuyển sang trạng thái bật
2. Hiển thị thêm trường thông tin người nhận (họ tên, số điện thoại người nhận)
3. Các trường người nhận ẩn đi, dữ liệu của người đặt không đổi</t>
  </si>
  <si>
    <t>Xác nhận: các trường hiển thị thêm thực tế (chưa khảo sát được)</t>
  </si>
  <si>
    <t>ORDER_Info_08</t>
  </si>
  <si>
    <t>Pre-condition:
+ Chưa đăng nhập
+ Khu vực nhận hàng: Hồ Chí Minh
+ Giỏ hàng có SP C (SL 1), đã chọn sản phẩm
+ Đã bấm [Đặt mua], đang ở hộp thoại "Thông tin đặt hàng"
Steps:
1. Click [Chọn địa chỉ] (Nhập địa chỉ theo Tỉnh/TP, Phường/Xã)
2. Chọn Thành phố Hồ Chí Minh, một Phường/Xã, nhập số nhà và tên đường
3. Click [Xác nhận], quan sát trang Thanh toán và khu vực trên header</t>
  </si>
  <si>
    <t>1. Mở màn hình chọn địa chỉ
2. Địa chỉ được chọn đúng
3. Trang Thanh toán hiển thị tên, số điện thoại và địa chỉ vừa nhập; khu vực trên header cập nhật theo địa chỉ</t>
  </si>
  <si>
    <t>ORDER_Info_09</t>
  </si>
  <si>
    <t>Không thể xác nhận với họ và tên không hợp lệ</t>
  </si>
  <si>
    <t>Pre-condition:
+ Chưa đăng nhập
+ Khu vực nhận hàng: Hồ Chí Minh
+ Giỏ hàng có SP C (SL 1), đã chọn sản phẩm
+ Đã bấm [Đặt mua], đang ở hộp thoại "Thông tin đặt hàng"
Steps:
1. Nhập số điện thoại, địa chỉ hợp lệ; nhập họ tên chỉ gồm số (vd: 12345), click [Xác nhận]
2. Nhập họ tên có ký tự đặc biệt (vd: @#$%)
3. Nhập họ tên quá dài (vd: 150 ký tự)</t>
  </si>
  <si>
    <t>1. Không tiếp tục được hoặc báo họ tên không hợp lệ
2. Không tiếp tục được hoặc báo họ tên không hợp lệ
3. Giới hạn độ dài nhập hoặc báo lỗi, không lỗi hệ thống</t>
  </si>
  <si>
    <t>Xác nhận: quy tắc kiểm tra họ tên thực tế</t>
  </si>
  <si>
    <t>ORDER_Info_10</t>
  </si>
  <si>
    <t>Từ chối quyền vị trí khi bấm [Chia sẻ vị trí]</t>
  </si>
  <si>
    <t>Pre-condition:
+ Chưa đăng nhập
+ Khu vực nhận hàng: Hồ Chí Minh
+ Giỏ hàng có SP C (SL 1), đã chọn sản phẩm
+ Đã bấm [Đặt mua], đang ở hộp thoại "Thông tin đặt hàng"
+ Trình duyệt chưa cấp quyền vị trí cho website
Steps:
1. Click [Chia sẻ vị trí]
2. Chọn [Chặn] trong hộp thoại xin quyền của trình duyệt
3. Quan sát hộp thoại Thông tin đặt hàng</t>
  </si>
  <si>
    <t>1. Trình duyệt hiển thị hộp thoại xin quyền vị trí
2. Website không tự điền địa chỉ
3. Hiển thị thông báo hoặc giữ nguyên, vẫn chọn được địa chỉ bằng [Chọn địa chỉ], không lỗi trắng trang</t>
  </si>
  <si>
    <t>Chỉ test đến bước từ chối quyền, không chia sẻ vị trí thật</t>
  </si>
  <si>
    <t>ORDER_Method_01</t>
  </si>
  <si>
    <t>Pre-condition:
+ Chưa đăng nhập
+ Khu vực nhận hàng: Hồ Chí Minh
+ Giỏ hàng có SP C (SL 1), đã chọn sản phẩm
Steps:
1. Quan sát lựa chọn mặc định ở trang giỏ hàng
2. Click [Nhận tại siêu thị]
3. Click [Giao tận nơi]</t>
  </si>
  <si>
    <t>1. Mặc định chọn [Giao tận nơi]
2. Hiển thị phần chọn siêu thị nhận hàng, bỏ phần địa chỉ giao hàng; chi tiết thanh toán cập nhật
3. Quay lại phần địa chỉ giao hàng, chi tiết thanh toán cập nhật tương ứng</t>
  </si>
  <si>
    <t>Xác nhận: màn hình chọn siêu thị thực tế</t>
  </si>
  <si>
    <t>ORDER_Method_02</t>
  </si>
  <si>
    <t>Pre-condition:
+ Chưa đăng nhập
+ Khu vực nhận hàng: Hồ Chí Minh
+ Đang ở trang "Thanh toán" với SP C (SL 1), đã nhập thông tin nhận hàng hợp lệ
Steps:
1. Quan sát hai lựa chọn giao hàng, ghi nhận phí và thời gian nhận
2. Click [Giao siêu nhanh]
3. Click [Đổi] ở Giao tiêu chuẩn, chọn thời gian khác (nếu có)</t>
  </si>
  <si>
    <t>1. Mặc định chọn Giao tiêu chuẩn (miễn phí), kèm thời gian nhận dự kiến; Giao siêu nhanh có phí (đã thấy 10.000đ)
2. Giao siêu nhanh được chọn, tổng thanh toán tăng đúng bằng phí giao
3. Thời gian nhận cập nhật theo lựa chọn</t>
  </si>
  <si>
    <t>Phí và thời gian nhận thay đổi theo khu vực/thời điểm, tester đối chiếu theo hiển thị thực tế</t>
  </si>
  <si>
    <t>ORDER_Pay_01</t>
  </si>
  <si>
    <t>Pre-condition:
+ Chưa đăng nhập
+ Khu vực nhận hàng: Hồ Chí Minh
+ Đang ở trang "Thanh toán" với SP C (SL 1), đã nhập thông tin nhận hàng hợp lệ
Steps:
1. Quan sát phần "Chọn số tiền thanh toán"
2. Click "Thanh toán tối thiểu để giữ hàng"
3. Click liên kết [Chi tiết]
4. Click "Thanh toán toàn bộ đơn"</t>
  </si>
  <si>
    <t>1. Mặc định chọn "Thanh toán toàn bộ đơn" với số tiền bằng tổng đơn hàng
2. Chọn được mức tối thiểu, hiển thị số tiền giữ hàng và lưu ý không hoàn tiền nếu không nhận hàng
3. Hiển thị nội dung chi tiết về điều kiện giữ hàng
4. Quay về thanh toán toàn bộ, số tiền cập nhật lại</t>
  </si>
  <si>
    <t>Chỉ xem và đổi lựa chọn, không bấm [Thanh toán]</t>
  </si>
  <si>
    <t>ORDER_Pay_02</t>
  </si>
  <si>
    <t>Pre-condition:
+ Chưa đăng nhập
+ Khu vực nhận hàng: Hồ Chí Minh
+ Đang ở trang "Thanh toán" với SP C (SL 1), đã nhập thông tin nhận hàng hợp lệ
Steps:
1. Cuộn tới phần "Chọn phương thức thanh toán"
2. Quan sát các phương thức và phương thức mặc định
3. Click [Thu hồi]/[Xem thêm] (nếu có)</t>
  </si>
  <si>
    <t>1. Hiển thị: MWG Paylater, Chuyển khoản ngân hàng, Qua thẻ tín dụng/ghi nợ, Ví MoMo, VNPay QR, ZaloPay, SmartPay QR, Home PayLater, Qua thẻ ATM/tín dụng Napas, Thanh toán tại siêu thị gần nhất
2. Mặc định chọn "Chuyển khoản ngân hàng"
3. Danh sách thu gọn/mở rộng đúng</t>
  </si>
  <si>
    <t>Theo ảnh khảo sát, danh sách có thể khác theo khu vực và giá trị đơn hàng</t>
  </si>
  <si>
    <t>ORDER_Pay_03</t>
  </si>
  <si>
    <t>Pre-condition:
+ Chưa đăng nhập
+ Khu vực nhận hàng: Hồ Chí Minh
+ Đang ở trang "Thanh toán" với SP C (SL 1), đã nhập thông tin nhận hàng hợp lệ
Steps:
1. Click chọn "Ví MoMo"
2. Click chọn "VNPay QR"
3. Quan sát các lựa chọn</t>
  </si>
  <si>
    <t>1. "Ví MoMo" được chọn, "Chuyển khoản ngân hàng" bỏ chọn
2. "VNPay QR" được chọn, "Ví MoMo" bỏ chọn
3. Tại một thời điểm chỉ có một phương thức được chọn</t>
  </si>
  <si>
    <t>ORDER_Pay_04</t>
  </si>
  <si>
    <t>Pre-condition:
+ Chưa đăng nhập
+ Khu vực nhận hàng: Hồ Chí Minh
+ Đang ở trang "Thanh toán" với SP C (SL 1), đã nhập thông tin nhận hàng hợp lệ
Steps:
1. Quan sát mục MWG Paylater
2. Click liên kết [Đăng ký ngay]</t>
  </si>
  <si>
    <t>1. Hiển thị mô tả hạn mức và lãi suất 0% theo chương trình
2. Chuyển sang trang/ứng dụng đăng ký MWG Paylater</t>
  </si>
  <si>
    <t>Chỉ kiểm tra đến bước chuyển trang, không đăng ký tài khoản thật. Ảnh khảo sát ghi "Hạn mức đến 60 triệu, lãi suất 0% đến 45 ngày"; mục này có thể đang bị vô hiệu với khách chưa đăng ký</t>
  </si>
  <si>
    <t>ORDER_Pay_05</t>
  </si>
  <si>
    <t>Pre-condition:
+ Chưa đăng nhập
+ Khu vực nhận hàng: Hồ Chí Minh
+ Đang ở trang "Thanh toán" với SP C (SL 1), đã nhập thông tin nhận hàng hợp lệ
Steps:
1. Click chọn "Thanh toán tại siêu thị gần nhất"
2. Quan sát chi tiết thanh toán và nút ở cuối trang</t>
  </si>
  <si>
    <t>1. Phương thức được chọn, hiển thị thông tin hoặc hướng dẫn nhận hàng/thanh toán tại siêu thị
2. Số tiền, phí giao hàng (nếu có) cập nhật đúng với phương thức</t>
  </si>
  <si>
    <t>Xác nhận: nội dung hiển thị thực tế khi chọn phương thức này</t>
  </si>
  <si>
    <t>ORDER_Pay_06</t>
  </si>
  <si>
    <t>Chọn phương thức thanh toán online và dừng trước khi bấm Thanh toán</t>
  </si>
  <si>
    <t>Pre-condition:
+ Chưa đăng nhập
+ Khu vực nhận hàng: Hồ Chí Minh
+ Đang ở trang "Thanh toán" với SP C (SL 1), đã nhập thông tin nhận hàng hợp lệ
Steps:
1. Chọn "Qua thẻ tín dụng / ghi nợ", quan sát phần mô tả
2. Chọn "Qua thẻ ATM, tín dụng Napas", quan sát
3. Chọn một ví (MoMo, ZaloPay, VNPay QR), quan sát</t>
  </si>
  <si>
    <t>1. Hiển thị các loại thẻ hỗ trợ (Visa, MasterCard, Amex, JCB, UnionPay), nút [Thanh toán] khả dụng
2. Hiển thị thông tin tương ứng, không lỗi
3. Hiển thị thông tin tương ứng, tổng thanh toán không đổi</t>
  </si>
  <si>
    <t>Không bấm [Thanh toán] ở test case này</t>
  </si>
  <si>
    <t>ORDER_Pay_07</t>
  </si>
  <si>
    <t>Pre-condition:
+ Chưa đăng nhập
+ Khu vực nhận hàng: Hồ Chí Minh
+ Đang ở trang "Thanh toán" với SP C (SL 1), đã nhập thông tin nhận hàng hợp lệ
Steps:
1. Ghi nhận "Chi tiết thanh toán" khi chọn "Chuyển khoản ngân hàng"
2. Đổi sang "Qua thẻ tín dụng / ghi nợ"
3. Đổi sang "Thanh toán tại siêu thị gần nhất"</t>
  </si>
  <si>
    <t>1. Hiển thị Tổng tiền hàng, Phí giao hàng, Tạm tính, số tiền cần thanh toán
2. Tổng tiền không thay đổi do đổi phương thức (trừ ưu đãi riêng của phương thức nếu có)
3. Chi tiết thanh toán cập nhật đúng, không có số tiền sai</t>
  </si>
  <si>
    <t>ORDER_Calc_01</t>
  </si>
  <si>
    <t>Pre-condition:
+ Chưa đăng nhập
+ Khu vực nhận hàng: Hồ Chí Minh
+ Giỏ hàng có SP A (SL 2) và SP B (SL 1), cả hai được chọn
+ Đã vào trang Thanh toán
Steps:
1. Quan sát danh sách sản phẩm và quà tặng cùng sản phẩm
2. Đối chiếu sản phẩm, số lượng, đơn giá với giỏ hàng</t>
  </si>
  <si>
    <t>1. Hiển thị đủ SP A và SP B kèm quà tặng cùng sản phẩm (nếu có)
2. Tên, số lượng, đơn giá khớp giỏ hàng; Tổng tiền hàng = 2a + b</t>
  </si>
  <si>
    <t>ORDER_Calc_02</t>
  </si>
  <si>
    <t>Pre-condition:
+ Chưa đăng nhập
+ Khu vực nhận hàng: Hồ Chí Minh
+ Giỏ hàng có SP A, SP B, SP C (mỗi SP SL 1)
Steps:
1. Ở trang giỏ hàng, bỏ chọn SP B
2. Click [Đặt mua], nhập thông tin hợp lệ, xác nhận
3. Quan sát danh sách sản phẩm ở trang Thanh toán</t>
  </si>
  <si>
    <t>1. SP B bỏ chọn, tổng tiền trong giỏ cập nhật
2. Chuyển sang trang Thanh toán
3. Chỉ có SP A và SP C, Tổng tiền hàng = a + c</t>
  </si>
  <si>
    <t>Xác nhận: giỏ hàng có hành vi chọn từng sản phẩm (đã thấy ô chọn từng sản phẩm và [Chọn tất cả])</t>
  </si>
  <si>
    <t>ORDER_Calc_03</t>
  </si>
  <si>
    <t>Pre-condition:
+ Chưa đăng nhập
+ Khu vực nhận hàng: Hồ Chí Minh
+ Đang ở trang "Thanh toán" với SP C (SL 1), đã nhập thông tin nhận hàng hợp lệ
+ Có mã giảm hợp lệ
Steps:
1. Click dòng [Mã giảm]
2. Chọn hoặc nhập mã hợp lệ, áp dụng
3. Nhập mã sai, áp dụng
4. Nhập mã hết hạn, áp dụng</t>
  </si>
  <si>
    <t>1. Mở màn hình danh sách/nhập mã giảm
2. Áp dụng thành công, hiển thị dòng giảm giá, tổng thanh toán giảm đúng giá trị mã
3. Báo mã không hợp lệ, tổng thanh toán không đổi
4. Báo mã hết hạn, tổng thanh toán không đổi</t>
  </si>
  <si>
    <t>Xác nhận: màn hình mã giảm thực tế, điều kiện đơn tối thiểu (banner trang chủ có mã giảm áp dụng đơn từ 7 triệu, 15 triệu)</t>
  </si>
  <si>
    <t>ORDER_Calc_04</t>
  </si>
  <si>
    <t>Bật Dùng điểm Quà Tặng VIP khi chưa đăng nhập</t>
  </si>
  <si>
    <t>Pre-condition:
+ Chưa đăng nhập
+ Khu vực nhận hàng: Hồ Chí Minh
+ Đang ở trang "Thanh toán" với SP C (SL 1), đã nhập thông tin nhận hàng hợp lệ
Steps:
1. Bật công tắc "Dùng điểm Quà Tặng VIP"
2. Quan sát thông báo/kết quả</t>
  </si>
  <si>
    <t>1. Công tắc được bật hoặc bị chặn
2. Hiển thị thông báo yêu cầu đăng nhập/không có điểm, tổng thanh toán không đổi</t>
  </si>
  <si>
    <t>Xác nhận: hành vi thực tế với khách chưa đăng nhập</t>
  </si>
  <si>
    <t>ORDER_OTP_01</t>
  </si>
  <si>
    <t>Pre-condition:
+ Chưa đăng nhập
+ Khu vực nhận hàng: Hồ Chí Minh
+ Đang ở trang "Thanh toán" với SP C (SL 1), đã nhập thông tin nhận hàng hợp lệ
+ Số điện thoại đã nhập là số thật nhận được SMS
+ Chọn phương thức "Thanh toán tại siêu thị gần nhất" hoặc "Chuyển khoản ngân hàng"
Steps:
1. Click nút xác nhận ở cuối trang (vd: [Thanh toán])
2. Quan sát màn hình hiển thị
3. Kiểm tra tin nhắn SMS trên điện thoại, DỪNG, không nhập mã</t>
  </si>
  <si>
    <t>1. Hiển thị yêu cầu nhập mã xác thực gửi về số điện thoại đã nhập
2. Màn hình nhập mã SMS hiển thị đúng số điện thoại (có thể ẩn bớt số)
3. Nhận được SMS chứa mã xác thực</t>
  </si>
  <si>
    <t>Dừng trước bước nhập mã SMS, không tạo đơn thật. Xác nhận: đơn chỉ được tạo sau khi nhập đúng mã. Hết thời gian chờ thì đóng màn hình, không nhập mã</t>
  </si>
  <si>
    <t>ORDER_OTP_02</t>
  </si>
  <si>
    <t>Không thể xác thực khi để trống mã SMS</t>
  </si>
  <si>
    <t>Pre-condition:
+ Chưa đăng nhập
+ Khu vực nhận hàng: Hồ Chí Minh
+ Đang ở trang "Thanh toán" với SP C (SL 1), đã nhập thông tin nhận hàng hợp lệ
+ Đang ở màn hình nhập mã SMS (ORDER_OTP_01)
Steps:
1. Để trống mã, click nút xác nhận
2. Nhập mã thiếu số (vd: 12), click nút xác nhận</t>
  </si>
  <si>
    <t>1. Không xác thực được, báo bắt buộc nhập mã
2. Không xác thực được, báo mã không hợp lệ</t>
  </si>
  <si>
    <t>Dừng trước bước nhập mã SMS, không tạo đơn thật</t>
  </si>
  <si>
    <t>ORDER_OTP_03</t>
  </si>
  <si>
    <t>Không thể xác thực với mã SMS sai</t>
  </si>
  <si>
    <t>Pre-condition:
+ Chưa đăng nhập
+ Khu vực nhận hàng: Hồ Chí Minh
+ Đang ở trang "Thanh toán" với SP C (SL 1), đã nhập thông tin nhận hàng hợp lệ
+ Đang ở màn hình nhập mã SMS (ORDER_OTP_01)
Steps:
1. Nhập mã sai (vd: 000000), click nút xác nhận
2. Nhập mã chứa chữ và ký tự đặc biệt (vd: ab@#12)</t>
  </si>
  <si>
    <t>1. Không xác thực được, báo mã không đúng, chưa tạo đơn
2. Không cho nhập hoặc báo mã không hợp lệ</t>
  </si>
  <si>
    <t>Dừng trước bước nhập mã SMS, không tạo đơn thật. Xác nhận: số chữ số của mã, thông báo lỗi thực tế</t>
  </si>
  <si>
    <t>ORDER_OTP_04</t>
  </si>
  <si>
    <t>Pre-condition:
+ Chưa đăng nhập
+ Khu vực nhận hàng: Hồ Chí Minh
+ Đang ở trang "Thanh toán" với SP C (SL 1), đã nhập thông tin nhận hàng hợp lệ
+ Đang ở màn hình nhập mã SMS (ORDER_OTP_01)
Steps:
1. Click [Gửi lại mã] ngay khi vừa nhận mã (nếu bị khóa)
2. Chờ hết thời gian đếm ngược, click [Gửi lại mã]
3. Kiểm tra SMS mới, không nhập mã</t>
  </si>
  <si>
    <t>1. Nút bị khóa hoặc hiển thị đếm ngược, chưa gửi lại
2. Gửi lại thành công, hiển thị thông báo đã gửi
3. Nhận SMS mới; mã cũ không còn hiệu lực</t>
  </si>
  <si>
    <t>Dừng trước bước nhập mã SMS, không tạo đơn thật. Xác nhận: thời gian chờ để gửi lại mã</t>
  </si>
  <si>
    <t>ORDER_OTP_05</t>
  </si>
  <si>
    <t>Pre-condition:
+ Chưa đăng nhập
+ Khu vực nhận hàng: Hồ Chí Minh
+ Đang ở trang "Thanh toán" với SP C (SL 1), đã nhập thông tin nhận hàng hợp lệ
+ Đang ở màn hình nhập mã SMS (ORDER_OTP_01)
Steps:
1. Nhập mã sai liên tiếp nhiều lần
2. Quan sát thông báo sau khi vượt giới hạn</t>
  </si>
  <si>
    <t>1. Mỗi lần báo mã sai
2. Bị khóa tạm thời hoặc yêu cầu gửi lại mã; không tạo đơn</t>
  </si>
  <si>
    <t>Xác nhận: số lần cho phép và thời gian khóa. Không dùng số điện thoại của người khác vì có thể bị khóa số</t>
  </si>
  <si>
    <t>ORDER_Rule_01</t>
  </si>
  <si>
    <t>Cập nhật khi khuyến mãi kết thúc trong lúc ở trang Thanh toán</t>
  </si>
  <si>
    <t>Pre-condition:
+ Chưa đăng nhập
+ Khu vực nhận hàng: Hồ Chí Minh
+ Giỏ hàng có SP A (Flash sale), đã vào trang Thanh toán
+ Thực hiện trước thời điểm kết thúc khuyến mãi
Steps:
1. Giữ trang Thanh toán, chờ qua thời điểm kết thúc khuyến mãi
2. Click nút xác nhận ở cuối trang, DỪNG tại bước nhập mã SMS
3. Quan sát giá trong đơn hàng</t>
  </si>
  <si>
    <t>1. Trang vẫn hoạt động bình thường
2. Hiển thị thông báo giá thay đổi hoặc tự cập nhật giá
3. Đơn hàng dùng giá hiện hành, không giữ giá khuyến mãi cũ</t>
  </si>
  <si>
    <t>ORDER_GUI_01</t>
  </si>
  <si>
    <t>Bố cục trang Thanh toán hiển thị đúng trên di động</t>
  </si>
  <si>
    <t>Pre-condition:
+ Chưa đăng nhập
+ Khu vực nhận hàng: Hồ Chí Minh
+ Giỏ hàng có SP C (SL 1), đã chọn sản phẩm
+ Thiết bị di động (Android/iOS) hoặc Chrome DevTools 375x812
+ Đang ở trang Thanh toán
Steps:
1. Quan sát các khối giao hàng, mã giảm, phương thức, chi tiết thanh toán
2. Cuộn trang, quan sát nút cuối trang
3. Xoay ngang màn hình</t>
  </si>
  <si>
    <t>1. Bố cục 1 cột, không vỡ giao diện, chữ đọc được
2. Ô chọn, nút [Thanh toán] đủ lớn để bấm, tổng tiền không bị che
3. Giao diện thích ứng khi xoay màn hình</t>
  </si>
  <si>
    <t>INST</t>
  </si>
  <si>
    <t>Mua trả góp - Trả chậm 0% (hộp thoại chọn hình thức, Mua trước trả sau, qua công ty tài chính, qua thẻ tín dụng) - https://www.dienmayxanh.com/</t>
  </si>
  <si>
    <t>SP F: sản phẩm giá cao hỗ trợ cả 3 hình thức trả chậm (vd: tivi). SP C: sản phẩm giá thấp, chỉ có Mua trước trả sau. SP G: sản phẩm không hỗ trợ trả chậm. SP A: sản phẩm có Flash sale</t>
  </si>
  <si>
    <t>Thông tin khách hàng hợp lệ: họ tên, số điện thoại thật nhận được cuộc gọi/tin nhắn xác nhận, ngày sinh, số CCCD hợp lệ</t>
  </si>
  <si>
    <t>Thẻ tín dụng test: thuộc loại Visa/Mastercard/JCB/Amex, còn hiệu lực và hạn mức do nhóm cung cấp. Website gọi chức năng này là "Trả chậm 0%"</t>
  </si>
  <si>
    <t>Lưu ý: không tạo hồ sơ/đơn thật. Dừng trước bước nhập mã SMS, không nhập thẻ/ví/CCCD thật, không đăng ký tài khoản đối tác, không dùng thông tin của người khác</t>
  </si>
  <si>
    <t>INST_Display_01</t>
  </si>
  <si>
    <t>Pre-condition:
+ Khu vực nhận hàng: Hồ Chí Minh
+ Chưa đăng nhập
+ Dùng SP F (giá cao, hỗ trợ cả 3 hình thức trả chậm)
Steps:
1. Mở trang chi tiết SP F
2. Quan sát thanh mua hàng phía dưới trang</t>
  </si>
  <si>
    <t>1. Trang chi tiết SP F hiển thị đúng
2. Hiển thị 3 nút: [Thêm vào giỏ], [Mua ngay], [Trả chậm 0%]</t>
  </si>
  <si>
    <t>INST_Display_02</t>
  </si>
  <si>
    <t>Hiển thị đủ 3 hình thức trong hộp thoại chọn hình thức trả chậm</t>
  </si>
  <si>
    <t>Pre-condition:
+ Khu vực nhận hàng: Hồ Chí Minh
+ Chưa đăng nhập
+ Dùng SP F (giá cao, hỗ trợ cả 3 hình thức trả chậm)
Steps:
1. Mở trang chi tiết SP F, click [Trả chậm 0%]
2. Quan sát các lựa chọn trong hộp thoại</t>
  </si>
  <si>
    <t>1. Hiển thị hộp thoại "Chọn hình thức trả chậm"
2. Có 3 lựa chọn: Qua thẻ tín dụng (Visa, Mastercard, JCB, Amex); Qua công ty tài chính (0%) - duyệt hồ sơ trong 5 phút; Mua trước trả sau (0%) - MWG Paylater, Kredivo, Home Paylater</t>
  </si>
  <si>
    <t>INST_Display_03</t>
  </si>
  <si>
    <t>Pre-condition:
+ Khu vực nhận hàng: Hồ Chí Minh
+ Chưa đăng nhập
+ Dùng SP C (giá thấp)
Steps:
1. Mở trang chi tiết SP C, click [Trả chậm 0%]
2. Quan sát các lựa chọn trong hộp thoại</t>
  </si>
  <si>
    <t>1. Hiển thị hộp thoại "Chọn hình thức trả chậm"
2. Chỉ có 1 lựa chọn: Mua trước trả sau (0%) - MWG Paylater, Kredivo, Home Paylater</t>
  </si>
  <si>
    <t>Xác nhận: mức giá tối thiểu để hiện hình thức qua thẻ và qua công ty tài chính (đã thấy: 790.000đ chỉ có Mua trước trả sau, 20.400.000đ có đủ 3)</t>
  </si>
  <si>
    <t>INST_Display_04</t>
  </si>
  <si>
    <t>Pre-condition:
+ Khu vực nhận hàng: Hồ Chí Minh
+ Chưa đăng nhập
+ Dùng SP F (giá cao, hỗ trợ cả 3 hình thức trả chậm)
Steps:
1. Mở trang chi tiết SP F, click [Trả chậm 0%]
2. Click nút [X] của hộp thoại
3. Quan sát trang chi tiết, kiểm tra giỏ hàng</t>
  </si>
  <si>
    <t>1. Hiển thị hộp thoại chọn hình thức trả chậm
2. Hộp thoại đóng
3. Vẫn ở trang chi tiết SP F, giỏ hàng không có SP F</t>
  </si>
  <si>
    <t>INST_Display_05</t>
  </si>
  <si>
    <t>Hiển thị tùy chọn trả chậm trên sản phẩm không hỗ trợ</t>
  </si>
  <si>
    <t>Pre-condition:
+ Khu vực nhận hàng: Hồ Chí Minh
+ Chưa đăng nhập
+ Dùng SP G (không hỗ trợ trả chậm)
Steps:
1. Mở trang chi tiết SP G
2. Quan sát thanh mua hàng, nếu có nút [Trả chậm 0%] thì click</t>
  </si>
  <si>
    <t>1. Trang chi tiết SP G hiển thị đúng
2. Không có nút [Trả chậm 0%], hoặc nút bị vô hiệu/thông báo sản phẩm không hỗ trợ trả chậm</t>
  </si>
  <si>
    <t>Xác nhận: sản phẩm nào không hỗ trợ trả chậm và cách website hiển thị</t>
  </si>
  <si>
    <t>INST_Display_06</t>
  </si>
  <si>
    <t>Pre-condition:
+ Khu vực nhận hàng: Hồ Chí Minh
+ Chưa đăng nhập
+ SP C (giá thấp) trong giỏ, đã vào trang thanh toán (/checkout-buy-now hoặc từ giỏ hàng)
Steps:
1. Cuộn tới phần "Chọn phương thức thanh toán"
2. Quan sát mục MWG Paylater và Home PayLater</t>
  </si>
  <si>
    <t>1. Hiển thị danh sách phương thức thanh toán
2. Có mục MWG Paylater (liên kết [Đăng ký ngay], mô tả hạn mức, lãi suất 0%) và Home PayLater</t>
  </si>
  <si>
    <t>Theo ảnh khảo sát: MWG Paylater ghi "Hạn mức đến 60 triệu, lãi suất 0% đến 45 ngày"; nội dung có thể thay đổi</t>
  </si>
  <si>
    <t>INST_Paylater_01</t>
  </si>
  <si>
    <t>Pre-condition:
+ Khu vực nhận hàng: Hồ Chí Minh
+ Chưa đăng nhập
+ Dùng SP F (giá cao, hỗ trợ cả 3 hình thức trả chậm)
+ Đã mở hộp thoại "Chọn hình thức trả chậm" của SP F
Steps:
1. Click lựa chọn "Mua trước trả sau (0%)"
2. Quan sát địa chỉ trang và nội dung
3. Click mũi tên quay lại cạnh tiêu đề trang</t>
  </si>
  <si>
    <t>1. Chuyển sang trang /tra-cham-bnpl
2. Hiển thị tiêu đề "Giỏ Hàng Mua Trước Trả Sau", SP F số lượng 1, đơn giá, quà tặng cùng sản phẩm (nếu có), khối chọn đối tác, giao hàng, mã giảm, chi tiết thanh toán
3. Quay về trang chi tiết SP F, giỏ hàng không bị thêm SP F</t>
  </si>
  <si>
    <t>INST_Paylater_02</t>
  </si>
  <si>
    <t>Pre-condition:
+ Khu vực nhận hàng: Hồ Chí Minh
+ Chưa đăng nhập
+ Dùng SP F (giá cao, hỗ trợ cả 3 hình thức trả chậm)
+ Đang ở trang /tra-cham-bnpl
Steps:
1. Quan sát khối "Chọn đối tác thanh toán"</t>
  </si>
  <si>
    <t>1. Hiển thị 3 đối tác: MWG Paylater, Kredivo, Home PayLater, logo rõ nét, không vỡ</t>
  </si>
  <si>
    <t>INST_Paylater_03</t>
  </si>
  <si>
    <t>Pre-condition:
+ Khu vực nhận hàng: Hồ Chí Minh
+ Chưa đăng nhập
+ Dùng SP F (giá cao, hỗ trợ cả 3 hình thức trả chậm)
+ Đang ở trang /tra-cham-bnpl, đã nhập thông tin nhận hàng hợp lệ
Steps:
1. Click đối tác MWG Paylater, quan sát
2. Quay lại, click đối tác Kredivo, quan sát
3. Quay lại, click đối tác Home PayLater, quan sát</t>
  </si>
  <si>
    <t>1. Đối tác được chọn, chuyển sang bước tiếp theo của MWG Paylater (đăng ký/đăng nhập, xác nhận hạn mức)
2. Chuyển sang bước tiếp theo của Kredivo
3. Chuyển sang bước tiếp theo của Home PayLater</t>
  </si>
  <si>
    <t>Xác nhận: bước tiếp theo thực tế của từng đối tác. Chỉ kiểm tra đến bước chuyển sang đối tác, không đăng ký tài khoản thật</t>
  </si>
  <si>
    <t>INST_Paylater_04</t>
  </si>
  <si>
    <t>Pre-condition:
+ Khu vực nhận hàng: Hồ Chí Minh
+ Chưa đăng nhập
+ Dùng SP F (giá cao, hỗ trợ cả 3 hình thức trả chậm)
+ Đang ở trang /tra-cham-bnpl, SP F số lượng 1
Steps:
1. Quan sát nút [−] và [+] cạnh ô số lượng
2. Click nút [+]
3. Click nút [−]
4. Click nút [−] khi số lượng là 1</t>
  </si>
  <si>
    <t>1. Nút [−] ở trạng thái vô hiệu (mờ) khi số lượng là 1, nút [+] hoạt động
2. Số lượng = 2, "Tổng tiền hàng" và "Tạm tính" = 2 × đơn giá
3. Số lượng = 1, tổng tiền cập nhật
4. Không giảm xuống dưới 1</t>
  </si>
  <si>
    <t>Khác trang giỏ hàng chính: ở trang này nút [−] bị mờ ở số lượng 1, không đổi thành thùng rác</t>
  </si>
  <si>
    <t>INST_Paylater_05</t>
  </si>
  <si>
    <t>Pre-condition:
+ Khu vực nhận hàng: Hồ Chí Minh
+ Chưa đăng nhập
+ Dùng SP F (giá cao, hỗ trợ cả 3 hình thức trả chậm)
+ Đang ở trang /tra-cham-bnpl, chưa nhập thông tin nhận hàng
Steps:
1. Quan sát dòng thông tin nhận hàng ("Vui lòng cung cấp thông tin nhận hàng")
2. Click chọn đối tác thanh toán khi chưa nhập thông tin nhận hàng
3. Click dòng thông tin nhận hàng, nhập họ tên, số điện thoại, địa chỉ hợp lệ, xác nhận</t>
  </si>
  <si>
    <t>1. Dòng nhắc nhập thông tin hiển thị màu cam
2. Không tiếp tục được, hiển thị thông báo yêu cầu cung cấp thông tin nhận hàng
3. Thông tin được lưu, dòng nhắc đổi thành thông tin nhận hàng đã nhập</t>
  </si>
  <si>
    <t>Xác nhận: nội dung thông báo thực tế</t>
  </si>
  <si>
    <t>INST_Paylater_06</t>
  </si>
  <si>
    <t>Pre-condition:
+ Khu vực nhận hàng: Hồ Chí Minh
+ Chưa đăng nhập
+ Dùng SP F (giá cao, hỗ trợ cả 3 hình thức trả chậm)
+ Đang ở trang /tra-cham-bnpl
Steps:
1. Quan sát lựa chọn mặc định
2. Click [Nhận tại siêu thị]
3. Click [Giao tận nơi]</t>
  </si>
  <si>
    <t>1. Mặc định chọn [Giao tận nơi]
2. Hiển thị phần chọn siêu thị nhận hàng, phí giao hàng không còn áp dụng
3. Quay lại phần địa chỉ giao hàng, chi tiết thanh toán cập nhật tương ứng</t>
  </si>
  <si>
    <t>INST_Paylater_07</t>
  </si>
  <si>
    <t>Pre-condition:
+ Khu vực nhận hàng: Hồ Chí Minh
+ Chưa đăng nhập
+ Dùng SP F (giá cao, hỗ trợ cả 3 hình thức trả chậm)
+ Đang ở trang /tra-cham-bnpl, SP F số lượng 2
Steps:
1. Quan sát phần "Chi tiết thanh toán"
2. Đối chiếu với giá trên trang chi tiết</t>
  </si>
  <si>
    <t>1. Hiển thị: Tổng tiền hàng (2 sản phẩm), Phí giao hàng + chuyển hàng, Tạm tính, Cần thanh toán
2. Tổng tiền hàng = 2 × đơn giá SP F; Tạm tính = tổng tiền hàng + phí giao hàng − giảm giá (nếu có)</t>
  </si>
  <si>
    <t>Xác nhận: dòng "Cần thanh toán khi nhận hàng" có đúng ngữ nghĩa với hình thức mua trước trả sau không (đã thấy hiển thị bằng tổng tiền)</t>
  </si>
  <si>
    <t>INST_Company_01</t>
  </si>
  <si>
    <t>Pre-condition:
+ Khu vực nhận hàng: Hồ Chí Minh
+ Chưa đăng nhập
+ Dùng SP F (giá cao, hỗ trợ cả 3 hình thức trả chậm)
+ Đã mở hộp thoại "Chọn hình thức trả chậm" của SP F
Steps:
1. Click lựa chọn "Qua công ty tài chính (0%)"
2. Quan sát nội dung trang</t>
  </si>
  <si>
    <t>1. Chuyển sang trang /tra-cham-tai-chinh, tiêu đề "Giỏ Hàng Trả Chậm Tài Chính"
2. Hiển thị SP F, phiên bản (vd: 70 inch), số lượng 1, đơn giá; "Dịch vụ đi kèm" và "Quà tặng cùng sản phẩm" có nút [Đổi]; khối "Thông tin làm hồ sơ trả chậm"; "Chọn gói trả chậm nổi bật"; nút [Đặt mua trả chậm]</t>
  </si>
  <si>
    <t>INST_Company_02</t>
  </si>
  <si>
    <t>Pre-condition:
+ Khu vực nhận hàng: Hồ Chí Minh
+ Chưa đăng nhập
+ Dùng SP F (giá cao, hỗ trợ cả 3 hình thức trả chậm)
+ Đang ở trang /tra-cham-tai-chinh (Giỏ Hàng Trả Chậm Tài Chính) của SP F
Steps:
1. Quan sát các gói trong "Chọn gói trả chậm nổi bật"
2. Đối chiếu tiền trả mỗi tháng, kỳ hạn, tổng tiền của một gói
3. Click [Xem thêm ... gói]</t>
  </si>
  <si>
    <t>1. Mỗi gói hiển thị: công ty tài chính (Home Credit, Shinhan Finance, FE Credit...), hình thức duyệt hồ sơ, tiền trả mỗi tháng, kỳ hạn, lãi suất, trả trước, tổng trả chậm, tổng tiền, chênh lệch
2. Tiền trả mỗi tháng xấp xỉ tổng trả chậm ÷ kỳ hạn; lãi suất 0% thì chênh lệch = 0đ
3. Hiển thị thêm các gói còn lại, nút đổi thành thu gọn</t>
  </si>
  <si>
    <t>Trang ghi chú: số tiền thực tế có thể chênh lệch đến 10.000đ/tháng (chưa gồm tiền thu hộ hàng tháng). Tester ghi nhận sai số thực tế</t>
  </si>
  <si>
    <t>INST_Company_03</t>
  </si>
  <si>
    <t>Pre-condition:
+ Khu vực nhận hàng: Hồ Chí Minh
+ Chưa đăng nhập
+ Dùng SP F (giá cao, hỗ trợ cả 3 hình thức trả chậm)
+ Đang ở trang /tra-cham-tai-chinh (Giỏ Hàng Trả Chậm Tài Chính) của SP F
Steps:
1. Click lần lượt từng công ty trong "Hoặc chọn gói trả chậm khác phù hợp" (Home Credit, Shinhan Finance, FE Credit, Mcredit, Samsung Finance+)
2. Click [Tất cả]
3. Chọn một mức trong "Chọn số tiền trả trước"
4. Chọn một kỳ hạn trong "Chọn kỳ hạn"</t>
  </si>
  <si>
    <t>1. Danh sách gói chỉ hiển thị gói của công ty được chọn
2. Hiển thị lại gói của tất cả công ty
3. Số tiền trả trước thay đổi, tiền trả mỗi tháng và tổng trả chậm cập nhật tương ứng
4. Hiển thị gói đúng kỳ hạn đã chọn, tiền trả mỗi tháng cập nhật</t>
  </si>
  <si>
    <t>INST_Company_04</t>
  </si>
  <si>
    <t>Pre-condition:
+ Khu vực nhận hàng: Hồ Chí Minh
+ Chưa đăng nhập
+ Dùng SP F (giá cao, hỗ trợ cả 3 hình thức trả chậm)
+ Đang ở trang /tra-cham-tai-chinh (Giỏ Hàng Trả Chậm Tài Chính) của SP F
+ Có số điện thoại thật nhận được cuộc gọi/tin nhắn xác nhận
+ Có số thẻ căn cước, ngày sinh hợp lệ
Steps:
1. Click chọn một gói của FE Credit (duyệt trong 5 phút)
2. Click dòng "Vui lòng cung cấp thông tin nhận hàng", nhập họ tên, số điện thoại, địa chỉ hợp lệ, xác nhận
3. Nhập số thẻ căn cước, ngày sinh (DD/MM/YYYY), chọn siêu thị làm hồ sơ
4. Tích ô đồng ý Chính sách xử lý dữ liệu cá nhân
5. Click [Đặt mua trả chậm], DỪNG tại bước nhập mã SMS, không nhập mã</t>
  </si>
  <si>
    <t>1. Gói được chọn nổi bật
2. Thông tin nhận hàng được lưu, dòng nhắc đổi thành thông tin đã nhập
3. Dữ liệu được nhận, không báo lỗi
4. Ô đồng ý được tích
5. Hiển thị yêu cầu nhập mã xác thực gửi về số điện thoại đã nhập, chưa tạo hồ sơ khi chưa nhập mã</t>
  </si>
  <si>
    <t>Không dùng số thẻ căn cước thật của người khác, không nhập mã SMS để không tạo hồ sơ thật. Xác nhận: hồ sơ chỉ được tạo sau khi nhập đúng mã. Home Credit/Shinhan Finance duyệt tại siêu thị, FE Credit duyệt trong 5 phút</t>
  </si>
  <si>
    <t>INST_Company_05</t>
  </si>
  <si>
    <t>Không thể đặt mua khi để trống thông tin làm hồ sơ</t>
  </si>
  <si>
    <t>Pre-condition:
+ Khu vực nhận hàng: Hồ Chí Minh
+ Chưa đăng nhập
+ Dùng SP F (giá cao, hỗ trợ cả 3 hình thức trả chậm)
+ Đang ở trang /tra-cham-tai-chinh (Giỏ Hàng Trả Chậm Tài Chính) của SP F
+ Đã nhập thông tin nhận hàng, đã tích đồng ý chính sách
Steps:
1. Chọn một gói, để trống số thẻ căn cước, nhập các trường khác hợp lệ, click [Đặt mua trả chậm]
2. Để trống ngày sinh, nhập các trường khác hợp lệ, click [Đặt mua trả chậm]
3. Không chọn siêu thị làm hồ sơ, nhập các trường khác hợp lệ, click [Đặt mua trả chậm]
4. Không chọn gói trả chậm, nhập các trường hợp lệ, click [Đặt mua trả chậm]</t>
  </si>
  <si>
    <t>1. Không đặt mua được, báo bắt buộc nhập số thẻ căn cước
2. Không đặt mua được, báo bắt buộc nhập ngày sinh
3. Không đặt mua được, báo bắt buộc chọn siêu thị làm hồ sơ
4. Không đặt mua được, báo bắt buộc chọn gói trả chậm</t>
  </si>
  <si>
    <t>INST_Company_06</t>
  </si>
  <si>
    <t>Không thể đặt mua với số thẻ căn cước không hợp lệ</t>
  </si>
  <si>
    <t>Pre-condition:
+ Khu vực nhận hàng: Hồ Chí Minh
+ Chưa đăng nhập
+ Dùng SP F (giá cao, hỗ trợ cả 3 hình thức trả chậm)
+ Đang ở trang /tra-cham-tai-chinh (Giỏ Hàng Trả Chậm Tài Chính) của SP F
+ Đã chọn gói, nhập các trường khác hợp lệ
Steps:
1. Nhập số thẻ căn cước thiếu số (vd: 12345), click [Đặt mua trả chậm]
2. Nhập số thẻ căn cước chứa chữ (vd: 12345abc6789)
3. Nhập số thẻ căn cước chứa ký tự đặc biệt (vd: 0123@#456789)
4. Nhập số thẻ căn cước dư số (vd: 0123456789012345)</t>
  </si>
  <si>
    <t>1. Không đặt mua được, báo số thẻ căn cước không hợp lệ
2. Không đặt mua được hoặc không cho nhập chữ, báo lỗi
3. Không đặt mua được, báo số thẻ căn cước không hợp lệ
4. Không đặt mua được hoặc giới hạn độ dài nhập, báo lỗi</t>
  </si>
  <si>
    <t>Xác nhận: quy tắc kiểm tra (CCCD 12 chữ số) và thông báo lỗi thực tế</t>
  </si>
  <si>
    <t>INST_Company_07</t>
  </si>
  <si>
    <t>Không thể đặt mua với ngày sinh không hợp lệ hoặc chưa đủ tuổi</t>
  </si>
  <si>
    <t>Pre-condition:
+ Khu vực nhận hàng: Hồ Chí Minh
+ Chưa đăng nhập
+ Dùng SP F (giá cao, hỗ trợ cả 3 hình thức trả chậm)
+ Đang ở trang /tra-cham-tai-chinh (Giỏ Hàng Trả Chậm Tài Chính) của SP F
+ Đã chọn gói, nhập các trường khác hợp lệ
Steps:
1. Nhập ngày sinh của người dưới 18 tuổi, click [Đặt mua trả chậm]
2. Nhập ngày sinh ở tương lai
3. Nhập ngày sinh không tồn tại (vd: 31/02/2000)
4. Nhập ngày sinh đúng 18 tuổi tính đến ngày test, DỪNG tại bước nhập mã SMS</t>
  </si>
  <si>
    <t>1. Không đặt mua được, báo chưa đủ điều kiện độ tuổi
2. Không đặt mua được, báo ngày sinh không hợp lệ
3. Không đặt mua được, báo ngày sinh không hợp lệ
4. Đi tiếp được tới bước xác thực SMS (giá trị biên đủ điều kiện), không nhập mã</t>
  </si>
  <si>
    <t>Xác nhận: độ tuổi tối thiểu thực tế do công ty tài chính quy định. Không nhập mã SMS</t>
  </si>
  <si>
    <t>INST_Company_08</t>
  </si>
  <si>
    <t>Không thể đặt mua khi chưa đồng ý chính sách xử lý dữ liệu cá nhân</t>
  </si>
  <si>
    <t>Pre-condition:
+ Khu vực nhận hàng: Hồ Chí Minh
+ Chưa đăng nhập
+ Dùng SP F (giá cao, hỗ trợ cả 3 hình thức trả chậm)
+ Đang ở trang /tra-cham-tai-chinh (Giỏ Hàng Trả Chậm Tài Chính) của SP F
+ Đã chọn gói, đã nhập đầy đủ thông tin hợp lệ
Steps:
1. Để trống ô đồng ý Chính sách xử lý dữ liệu cá nhân, click [Đặt mua trả chậm]
2. Tích ô đồng ý, click [Đặt mua trả chậm], DỪNG tại bước nhập mã SMS</t>
  </si>
  <si>
    <t>1. Không đặt mua được, báo bắt buộc đồng ý chính sách (nội dung ghi "bắt buộc")
2. Đi tiếp tới bước xác thực SMS, không nhập mã</t>
  </si>
  <si>
    <t>Không nhập mã SMS để không tạo hồ sơ thật</t>
  </si>
  <si>
    <t>INST_Card_01</t>
  </si>
  <si>
    <t>Pre-condition:
+ Khu vực nhận hàng: Hồ Chí Minh
+ Chưa đăng nhập
+ Dùng SP F (giá cao, hỗ trợ cả 3 hình thức trả chậm)
+ Đã mở hộp thoại "Chọn hình thức trả chậm" của SP F
Steps:
1. Click lựa chọn "Qua thẻ tín dụng"
2. Quan sát khối "Chọn ngân hàng trả chậm" và "Chọn loại thẻ"</t>
  </si>
  <si>
    <t>1. Chuyển sang trang /tra-cham, tiêu đề "Giỏ Hàng Trả Chậm Thẻ Tín Dụng", hiển thị SP F, dịch vụ đi kèm, quà tặng, chi tiết thanh toán, nút [Thanh toán]
2. Bước 1 hiển thị lưới ngân hàng (VPBank, LPBank, Techcombank, Nam A Bank, Home Credit, TPBank, HSBC, VIB, Vietcombank, BIDV...) kèm nhãn giảm giá (vd: Giảm 500k, Giảm 600k); bước 2 hiển thị "Vui lòng chọn ngân hàng để xem loại thẻ"</t>
  </si>
  <si>
    <t>Nhãn giảm giá, số ngân hàng thay đổi theo chương trình</t>
  </si>
  <si>
    <t>INST_Card_02</t>
  </si>
  <si>
    <t>Pre-condition:
+ Khu vực nhận hàng: Hồ Chí Minh
+ Chưa đăng nhập
+ Dùng SP F (giá cao, hỗ trợ cả 3 hình thức trả chậm)
+ Đang ở trang /tra-cham (Giỏ Hàng Trả Chậm Thẻ Tín Dụng) của SP F
Steps:
1. Nhập tên ngân hàng có trong danh sách (vd: Vietcombank) vào ô "Tìm ngân hàng?"
2. Nhập tên ngân hàng không có (vd: abcxyz)
3. Xóa nội dung ô tìm kiếm</t>
  </si>
  <si>
    <t>1. Danh sách chỉ còn ngân hàng khớp từ khóa
2. Hiển thị trạng thái không có kết quả, không lỗi
3. Danh sách ngân hàng hiển thị lại đầy đủ</t>
  </si>
  <si>
    <t>Xác nhận: tìm kiếm có phân biệt hoa thường/dấu hay không</t>
  </si>
  <si>
    <t>INST_Card_03</t>
  </si>
  <si>
    <t>Pre-condition:
+ Khu vực nhận hàng: Hồ Chí Minh
+ Chưa đăng nhập
+ Dùng SP F (giá cao, hỗ trợ cả 3 hình thức trả chậm)
+ Đang ở trang /tra-cham (Giỏ Hàng Trả Chậm Thẻ Tín Dụng) của SP F
Steps:
1. Click chọn ngân hàng VPBank
2. Quan sát bước "Chọn loại thẻ"
3. Chọn ngân hàng khác (vd: Vietcombank), quan sát lại bước 2</t>
  </si>
  <si>
    <t>1. Ngân hàng được chọn nổi bật
2. Hiển thị các loại thẻ và kỳ hạn của VPBank
3. Bước 2 cập nhật theo ngân hàng mới, không còn loại thẻ của ngân hàng cũ</t>
  </si>
  <si>
    <t>INST_Card_04</t>
  </si>
  <si>
    <t>Không thể thanh toán khi chưa chọn ngân hàng hoặc loại thẻ</t>
  </si>
  <si>
    <t>Pre-condition:
+ Khu vực nhận hàng: Hồ Chí Minh
+ Chưa đăng nhập
+ Dùng SP F (giá cao, hỗ trợ cả 3 hình thức trả chậm)
+ Đang ở trang /tra-cham (Giỏ Hàng Trả Chậm Thẻ Tín Dụng) của SP F
+ Đã nhập thông tin nhận hàng, đã tích đồng ý chính sách
Steps:
1. Chưa chọn ngân hàng, click [Thanh toán]
2. Chọn một ngân hàng, chưa chọn loại thẻ, click [Thanh toán]</t>
  </si>
  <si>
    <t>1. Không chuyển sang cổng thanh toán, báo yêu cầu chọn ngân hàng
2. Không chuyển sang cổng thanh toán, báo yêu cầu chọn loại thẻ</t>
  </si>
  <si>
    <t>INST_Card_05</t>
  </si>
  <si>
    <t>Không thể thanh toán khi chưa đồng ý chính sách xử lý dữ liệu cá nhân</t>
  </si>
  <si>
    <t>Pre-condition:
+ Khu vực nhận hàng: Hồ Chí Minh
+ Chưa đăng nhập
+ Dùng SP F (giá cao, hỗ trợ cả 3 hình thức trả chậm)
+ Đang ở trang /tra-cham (Giỏ Hàng Trả Chậm Thẻ Tín Dụng) của SP F
+ Đã chọn ngân hàng, loại thẻ và nhập thông tin nhận hàng
Steps:
1. Để trống ô đồng ý Chính sách xử lý dữ liệu cá nhân, click [Thanh toán]
2. Tích ô đồng ý, click [Thanh toán]</t>
  </si>
  <si>
    <t>1. Không chuyển sang cổng thanh toán, báo bắt buộc đồng ý chính sách
2. Chuyển sang cổng thanh toán</t>
  </si>
  <si>
    <t>INST_Card_06</t>
  </si>
  <si>
    <t>Pre-condition:
+ Khu vực nhận hàng: Hồ Chí Minh
+ Chưa đăng nhập
+ Dùng SP F (giá cao, hỗ trợ cả 3 hình thức trả chậm)
+ Đang ở trang /tra-cham (Giỏ Hàng Trả Chậm Thẻ Tín Dụng) của SP F
+ Có thẻ tín dụng test thuộc ngân hàng được hỗ trợ, còn hạn mức và còn hiệu lực
Steps:
1. Chọn ngân hàng, loại thẻ; nhập thông tin nhận hàng; tích đồng ý chính sách
2. Click [Thanh toán], xử lý bước nhập mã SMS nếu có (dừng, không nhập mã đúng)
3. Nếu được chuyển sang cổng thanh toán: chỉ quan sát số tiền, đóng trang, không nhập thẻ thật</t>
  </si>
  <si>
    <t>1. Các lựa chọn hợp lệ, không báo lỗi
2. Hiển thị yêu cầu nhập mã SMS hoặc chuyển thẳng sang cổng thanh toán
3. Cổng thanh toán hiển thị đúng số tiền đơn hàng và đúng ngân hàng đã chọn</t>
  </si>
  <si>
    <t>Không nhập thẻ thật, không hoàn tất giao dịch. Xác nhận: thứ tự bước SMS và cổng thanh toán. Trang hiển thị dòng "Cần thanh toán khi nhận hàng" dù là thanh toán thẻ, cần xác nhận có đúng ngữ nghĩa không</t>
  </si>
  <si>
    <t>INST_Card_07</t>
  </si>
  <si>
    <t>Pre-condition:
+ Khu vực nhận hàng: Hồ Chí Minh
+ Chưa đăng nhập
+ Dùng SP F (giá cao, hỗ trợ cả 3 hình thức trả chậm)
+ Đang ở trang /tra-cham (Giỏ Hàng Trả Chậm Thẻ Tín Dụng) của SP F
+ Đã chọn ngân hàng, loại thẻ, nhập thông tin nhận hàng, tích đồng ý, click [Thanh toán] và đang ở cổng thanh toán
Steps:
1. Tại cổng thanh toán, nhập số thẻ giả sai định dạng
2. Nhập số thẻ giả có ngày hết hạn trong quá khứ
3. Click [Hủy]/đóng trang tại cổng thanh toán
4. Quay lại website, kiểm tra giỏ hàng và đơn hàng</t>
  </si>
  <si>
    <t>1. Cổng thanh toán báo số thẻ không hợp lệ, không phát sinh giao dịch
2. Cổng thanh toán báo thẻ hết hạn/không hợp lệ
3. Quay về website, hiển thị thông báo hủy hoặc chưa thanh toán
4. Đơn không được ghi nhận đã thanh toán, không tạo đơn trùng</t>
  </si>
  <si>
    <t>Chỉ nhập số thẻ giả để cổng từ chối, tuyệt đối không dùng thẻ thật. Test này chỉ làm được khi qua được bước SMS để tới cổng thanh toán; nếu không, đánh dấu Blocked</t>
  </si>
  <si>
    <t>INST_Rule_01</t>
  </si>
  <si>
    <t>Tính tiền trả chậm theo giá khuyến mãi của sản phẩm</t>
  </si>
  <si>
    <t>Pre-condition:
+ Khu vực nhận hàng: Hồ Chí Minh
+ Chưa đăng nhập
+ Dùng SP A (có Flash sale) hỗ trợ trả chậm
Steps:
1. Mở trang chi tiết SP A, click [Trả chậm 0%], chọn Mua trước trả sau
2. Quan sát đơn giá và Tạm tính trên trang /tra-cham-bnpl</t>
  </si>
  <si>
    <t>1. Chuyển sang trang Mua trước trả sau
2. Đơn giá và Tạm tính tính theo giá Flash sale, không tính theo giá gốc</t>
  </si>
  <si>
    <t>Xác nhận: sau khi Flash sale kết thúc, giá trên trang cập nhật theo giá thường</t>
  </si>
  <si>
    <t>INST_GUI_01</t>
  </si>
  <si>
    <t>Giao diện trả chậm hiển thị đúng trên di động</t>
  </si>
  <si>
    <t>Pre-condition:
+ Khu vực nhận hàng: Hồ Chí Minh
+ Chưa đăng nhập
+ Dùng SP F (giá cao, hỗ trợ cả 3 hình thức trả chậm)
+ Thiết bị di động (Android/iOS) hoặc Chrome DevTools 375x812
Steps:
1. Mở hộp thoại chọn hình thức trả chậm và trang /tra-cham-bnpl
2. Cuộn trang, quan sát khối chọn đối tác và chi tiết thanh toán
3. Xoay ngang màn hình</t>
  </si>
  <si>
    <t>1. Hộp thoại và trang hiển thị 1 cột, không vỡ giao diện, chữ đọc được
2. Logo đối tác, nút chọn, nút [Thêm vào giỏ]/[Mua ngay] đủ lớn để bấm, không bị che
3. Giao diện thích ứng khi xoay màn hình</t>
  </si>
  <si>
    <t>Fail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</si>
</sst>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name val="Arial"/>
    </font>
    <font>
      <sz val="10"/>
      <name val="Arial"/>
    </font>
    <font>
      <b/>
      <sz val="10"/>
      <name val="Tahoma"/>
    </font>
    <font>
      <sz val="10"/>
      <color rgb="FF008000"/>
      <name val="Tahoma"/>
    </font>
    <font>
      <sz val="10"/>
      <name val="Tahoma"/>
    </font>
    <font>
      <b/>
      <sz val="10"/>
      <color rgb="FFFFFFFF"/>
      <name val="Tahoma"/>
    </font>
  </fonts>
  <fills count="5">
    <fill>
      <patternFill patternType="none"/>
    </fill>
    <fill>
      <patternFill patternType="gray125"/>
    </fill>
    <fill>
      <patternFill patternType="solid">
        <fgColor rgb="FF00CCFF"/>
      </patternFill>
    </fill>
    <fill>
      <patternFill patternType="solid">
        <fgColor rgb="FF000080"/>
      </patternFill>
    </fill>
    <fill>
      <patternFill patternType="solid">
        <fgColor theme="5" tint="0.39997558519241921"/>
        <bgColor indexed="64"/>
      </patternFill>
    </fill>
  </fills>
  <borders count="5">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18">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center" wrapText="1"/>
    </xf>
    <xf numFmtId="0" fontId="3" fillId="0" borderId="2" xfId="0" applyFont="1" applyBorder="1" applyAlignment="1">
      <alignment vertical="center" wrapText="1"/>
    </xf>
    <xf numFmtId="0" fontId="5" fillId="0" borderId="0" xfId="0" applyFont="1"/>
    <xf numFmtId="0" fontId="3" fillId="0" borderId="0" xfId="0" applyFont="1" applyAlignment="1">
      <alignment vertical="top" wrapText="1"/>
    </xf>
    <xf numFmtId="0" fontId="5" fillId="0" borderId="0" xfId="0" applyFont="1" applyAlignment="1">
      <alignment vertical="top" wrapText="1"/>
    </xf>
    <xf numFmtId="0" fontId="3" fillId="0" borderId="2" xfId="0" applyFont="1" applyBorder="1" applyAlignment="1">
      <alignment horizontal="center" vertical="center" wrapText="1"/>
    </xf>
    <xf numFmtId="0" fontId="5" fillId="0" borderId="2" xfId="0" applyFont="1" applyBorder="1" applyAlignment="1">
      <alignment horizontal="center" vertical="center"/>
    </xf>
    <xf numFmtId="0" fontId="6" fillId="3" borderId="2" xfId="0" applyFont="1" applyFill="1" applyBorder="1" applyAlignment="1">
      <alignment horizontal="center" vertical="center" wrapText="1"/>
    </xf>
    <xf numFmtId="0" fontId="5" fillId="0" borderId="2" xfId="0" applyFont="1" applyBorder="1" applyAlignment="1">
      <alignment vertical="top" wrapText="1"/>
    </xf>
    <xf numFmtId="0" fontId="4" fillId="0" borderId="2" xfId="0" applyFont="1" applyBorder="1" applyAlignment="1">
      <alignment vertical="top" wrapText="1"/>
    </xf>
    <xf numFmtId="0" fontId="5" fillId="0" borderId="2" xfId="0" applyFont="1" applyBorder="1" applyAlignment="1">
      <alignment horizontal="center" vertical="center"/>
    </xf>
    <xf numFmtId="0" fontId="0" fillId="0" borderId="3" xfId="0" applyBorder="1"/>
    <xf numFmtId="0" fontId="0" fillId="0" borderId="4" xfId="0" applyBorder="1"/>
    <xf numFmtId="0" fontId="3" fillId="0" borderId="2" xfId="0" applyFont="1" applyBorder="1" applyAlignment="1">
      <alignment horizontal="center" vertical="center" wrapText="1"/>
    </xf>
    <xf numFmtId="0" fontId="4" fillId="0" borderId="2" xfId="0" applyFont="1" applyBorder="1" applyAlignment="1">
      <alignment vertical="center" wrapText="1"/>
    </xf>
    <xf numFmtId="0" fontId="5" fillId="4" borderId="2" xfId="0" applyFont="1" applyFill="1" applyBorder="1" applyAlignment="1">
      <alignment vertical="top" wrapText="1"/>
    </xf>
  </cellXfs>
  <cellStyles count="1">
    <cellStyle name="Normal" xfId="0" builtinId="0"/>
  </cellStyles>
  <dxfs count="12">
    <dxf>
      <fill>
        <patternFill patternType="solid">
          <fgColor rgb="FFD9D9D9"/>
          <bgColor rgb="FFD9D9D9"/>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D9D9D9"/>
          <bgColor rgb="FFD9D9D9"/>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D9D9D9"/>
          <bgColor rgb="FFD9D9D9"/>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3"/>
  <sheetViews>
    <sheetView topLeftCell="B1" workbookViewId="0">
      <pane ySplit="1" topLeftCell="A2" activePane="bottomLeft" state="frozen"/>
      <selection pane="bottomLeft" activeCell="D33" sqref="D33"/>
    </sheetView>
  </sheetViews>
  <sheetFormatPr defaultRowHeight="15.05" x14ac:dyDescent="0.3"/>
  <cols>
    <col min="1" max="1" width="16" customWidth="1"/>
    <col min="2" max="2" width="18" customWidth="1"/>
    <col min="3" max="3" width="22" customWidth="1"/>
    <col min="4" max="4" width="85" customWidth="1"/>
    <col min="5" max="5" width="14" customWidth="1"/>
    <col min="6" max="6" width="55" customWidth="1"/>
  </cols>
  <sheetData>
    <row r="1" spans="1:6" ht="25.55" customHeight="1" x14ac:dyDescent="0.3">
      <c r="A1" s="1" t="s">
        <v>176</v>
      </c>
      <c r="B1" s="1" t="s">
        <v>177</v>
      </c>
      <c r="C1" s="1" t="s">
        <v>178</v>
      </c>
      <c r="D1" s="1" t="s">
        <v>179</v>
      </c>
      <c r="E1" s="1" t="s">
        <v>180</v>
      </c>
      <c r="F1" s="1" t="s">
        <v>24</v>
      </c>
    </row>
    <row r="2" spans="1:6" x14ac:dyDescent="0.3">
      <c r="A2" s="2" t="s">
        <v>181</v>
      </c>
      <c r="B2" s="2" t="s">
        <v>182</v>
      </c>
      <c r="C2" s="2" t="s">
        <v>183</v>
      </c>
      <c r="D2" s="2" t="s">
        <v>184</v>
      </c>
      <c r="E2" s="2" t="s">
        <v>185</v>
      </c>
      <c r="F2" s="2"/>
    </row>
    <row r="3" spans="1:6" x14ac:dyDescent="0.3">
      <c r="A3" s="2"/>
      <c r="B3" s="2"/>
      <c r="C3" s="2"/>
      <c r="D3" s="2" t="s">
        <v>186</v>
      </c>
      <c r="E3" s="2" t="s">
        <v>185</v>
      </c>
      <c r="F3" s="2"/>
    </row>
    <row r="4" spans="1:6" x14ac:dyDescent="0.3">
      <c r="A4" s="2"/>
      <c r="B4" s="2"/>
      <c r="C4" s="2"/>
      <c r="D4" s="2" t="s">
        <v>187</v>
      </c>
      <c r="E4" s="2" t="s">
        <v>185</v>
      </c>
      <c r="F4" s="2"/>
    </row>
    <row r="5" spans="1:6" x14ac:dyDescent="0.3">
      <c r="A5" s="2"/>
      <c r="B5" s="2"/>
      <c r="C5" s="2"/>
      <c r="D5" s="2" t="s">
        <v>188</v>
      </c>
      <c r="E5" s="2" t="s">
        <v>185</v>
      </c>
      <c r="F5" s="2"/>
    </row>
    <row r="6" spans="1:6" x14ac:dyDescent="0.3">
      <c r="A6" s="2"/>
      <c r="B6" s="2"/>
      <c r="C6" s="2"/>
      <c r="D6" s="2" t="s">
        <v>189</v>
      </c>
      <c r="E6" s="2" t="s">
        <v>185</v>
      </c>
      <c r="F6" s="2"/>
    </row>
    <row r="7" spans="1:6" x14ac:dyDescent="0.3">
      <c r="A7" s="2"/>
      <c r="B7" s="2"/>
      <c r="C7" s="2"/>
      <c r="D7" s="2" t="s">
        <v>190</v>
      </c>
      <c r="E7" s="2" t="s">
        <v>185</v>
      </c>
      <c r="F7" s="2"/>
    </row>
    <row r="8" spans="1:6" x14ac:dyDescent="0.3">
      <c r="A8" s="2"/>
      <c r="B8" s="2"/>
      <c r="C8" s="2"/>
      <c r="D8" s="2" t="s">
        <v>191</v>
      </c>
      <c r="E8" s="2" t="s">
        <v>185</v>
      </c>
      <c r="F8" s="2"/>
    </row>
    <row r="9" spans="1:6" x14ac:dyDescent="0.3">
      <c r="A9" s="2"/>
      <c r="B9" s="2"/>
      <c r="C9" s="2"/>
      <c r="D9" s="2" t="s">
        <v>192</v>
      </c>
      <c r="E9" s="2" t="s">
        <v>185</v>
      </c>
      <c r="F9" s="2"/>
    </row>
    <row r="10" spans="1:6" x14ac:dyDescent="0.3">
      <c r="A10" s="2"/>
      <c r="B10" s="2"/>
      <c r="C10" s="2"/>
      <c r="D10" s="2" t="s">
        <v>193</v>
      </c>
      <c r="E10" s="2" t="s">
        <v>185</v>
      </c>
      <c r="F10" s="2" t="s">
        <v>194</v>
      </c>
    </row>
    <row r="11" spans="1:6" x14ac:dyDescent="0.3">
      <c r="A11" s="2"/>
      <c r="B11" s="2"/>
      <c r="C11" s="2" t="s">
        <v>195</v>
      </c>
      <c r="D11" s="2" t="s">
        <v>196</v>
      </c>
      <c r="E11" s="2" t="s">
        <v>185</v>
      </c>
      <c r="F11" s="2"/>
    </row>
    <row r="12" spans="1:6" x14ac:dyDescent="0.3">
      <c r="A12" s="2"/>
      <c r="B12" s="2"/>
      <c r="C12" s="2"/>
      <c r="D12" s="2" t="s">
        <v>197</v>
      </c>
      <c r="E12" s="2" t="s">
        <v>185</v>
      </c>
      <c r="F12" s="2"/>
    </row>
    <row r="13" spans="1:6" x14ac:dyDescent="0.3">
      <c r="A13" s="2"/>
      <c r="B13" s="2"/>
      <c r="C13" s="2"/>
      <c r="D13" s="2" t="s">
        <v>198</v>
      </c>
      <c r="E13" s="2" t="s">
        <v>185</v>
      </c>
      <c r="F13" s="2"/>
    </row>
    <row r="14" spans="1:6" x14ac:dyDescent="0.3">
      <c r="A14" s="2"/>
      <c r="B14" s="2"/>
      <c r="C14" s="2"/>
      <c r="D14" s="2" t="s">
        <v>199</v>
      </c>
      <c r="E14" s="2" t="s">
        <v>185</v>
      </c>
      <c r="F14" s="2"/>
    </row>
    <row r="15" spans="1:6" x14ac:dyDescent="0.3">
      <c r="A15" s="2"/>
      <c r="B15" s="2"/>
      <c r="C15" s="2"/>
      <c r="D15" s="2" t="s">
        <v>200</v>
      </c>
      <c r="E15" s="2" t="s">
        <v>201</v>
      </c>
      <c r="F15" s="2"/>
    </row>
    <row r="16" spans="1:6" x14ac:dyDescent="0.3">
      <c r="A16" s="2"/>
      <c r="B16" s="2"/>
      <c r="C16" s="2"/>
      <c r="D16" s="2" t="s">
        <v>202</v>
      </c>
      <c r="E16" s="2" t="s">
        <v>201</v>
      </c>
      <c r="F16" s="2"/>
    </row>
    <row r="17" spans="1:6" x14ac:dyDescent="0.3">
      <c r="A17" s="2"/>
      <c r="B17" s="2"/>
      <c r="C17" s="2" t="s">
        <v>203</v>
      </c>
      <c r="D17" s="2" t="s">
        <v>204</v>
      </c>
      <c r="E17" s="2" t="s">
        <v>185</v>
      </c>
      <c r="F17" s="2"/>
    </row>
    <row r="18" spans="1:6" x14ac:dyDescent="0.3">
      <c r="A18" s="2"/>
      <c r="B18" s="2"/>
      <c r="C18" s="2"/>
      <c r="D18" s="2" t="s">
        <v>205</v>
      </c>
      <c r="E18" s="2" t="s">
        <v>185</v>
      </c>
      <c r="F18" s="2"/>
    </row>
    <row r="19" spans="1:6" x14ac:dyDescent="0.3">
      <c r="A19" s="2"/>
      <c r="B19" s="2"/>
      <c r="C19" s="2"/>
      <c r="D19" s="2" t="s">
        <v>206</v>
      </c>
      <c r="E19" s="2" t="s">
        <v>185</v>
      </c>
      <c r="F19" s="2"/>
    </row>
    <row r="20" spans="1:6" x14ac:dyDescent="0.3">
      <c r="A20" s="2"/>
      <c r="B20" s="2"/>
      <c r="C20" s="2"/>
      <c r="D20" s="2" t="s">
        <v>207</v>
      </c>
      <c r="E20" s="2" t="s">
        <v>185</v>
      </c>
      <c r="F20" s="2"/>
    </row>
    <row r="21" spans="1:6" x14ac:dyDescent="0.3">
      <c r="A21" s="2"/>
      <c r="B21" s="2"/>
      <c r="C21" s="2"/>
      <c r="D21" s="2" t="s">
        <v>208</v>
      </c>
      <c r="E21" s="2" t="s">
        <v>185</v>
      </c>
      <c r="F21" s="2"/>
    </row>
    <row r="22" spans="1:6" x14ac:dyDescent="0.3">
      <c r="A22" s="2"/>
      <c r="B22" s="2"/>
      <c r="C22" s="2"/>
      <c r="D22" s="2" t="s">
        <v>209</v>
      </c>
      <c r="E22" s="2" t="s">
        <v>185</v>
      </c>
      <c r="F22" s="2"/>
    </row>
    <row r="23" spans="1:6" x14ac:dyDescent="0.3">
      <c r="A23" s="2"/>
      <c r="B23" s="2"/>
      <c r="C23" s="2"/>
      <c r="D23" s="2" t="s">
        <v>210</v>
      </c>
      <c r="E23" s="2" t="s">
        <v>185</v>
      </c>
      <c r="F23" s="2"/>
    </row>
    <row r="24" spans="1:6" x14ac:dyDescent="0.3">
      <c r="A24" s="2"/>
      <c r="B24" s="2"/>
      <c r="C24" s="2" t="s">
        <v>211</v>
      </c>
      <c r="D24" s="2" t="s">
        <v>212</v>
      </c>
      <c r="E24" s="2" t="s">
        <v>185</v>
      </c>
      <c r="F24" s="2"/>
    </row>
    <row r="25" spans="1:6" x14ac:dyDescent="0.3">
      <c r="A25" s="2"/>
      <c r="B25" s="2"/>
      <c r="C25" s="2"/>
      <c r="D25" s="2" t="s">
        <v>213</v>
      </c>
      <c r="E25" s="2" t="s">
        <v>185</v>
      </c>
      <c r="F25" s="2"/>
    </row>
    <row r="26" spans="1:6" x14ac:dyDescent="0.3">
      <c r="A26" s="2"/>
      <c r="B26" s="2"/>
      <c r="C26" s="2"/>
      <c r="D26" s="2" t="s">
        <v>214</v>
      </c>
      <c r="E26" s="2" t="s">
        <v>185</v>
      </c>
      <c r="F26" s="2"/>
    </row>
    <row r="27" spans="1:6" x14ac:dyDescent="0.3">
      <c r="A27" s="2"/>
      <c r="B27" s="2"/>
      <c r="C27" s="2"/>
      <c r="D27" s="2" t="s">
        <v>215</v>
      </c>
      <c r="E27" s="2" t="s">
        <v>185</v>
      </c>
      <c r="F27" s="2"/>
    </row>
    <row r="28" spans="1:6" x14ac:dyDescent="0.3">
      <c r="A28" s="2"/>
      <c r="B28" s="2"/>
      <c r="C28" s="2" t="s">
        <v>216</v>
      </c>
      <c r="D28" s="2" t="s">
        <v>217</v>
      </c>
      <c r="E28" s="2" t="s">
        <v>185</v>
      </c>
      <c r="F28" s="2"/>
    </row>
    <row r="29" spans="1:6" x14ac:dyDescent="0.3">
      <c r="A29" s="2"/>
      <c r="B29" s="2"/>
      <c r="C29" s="2"/>
      <c r="D29" s="2" t="s">
        <v>218</v>
      </c>
      <c r="E29" s="2" t="s">
        <v>185</v>
      </c>
      <c r="F29" s="2"/>
    </row>
    <row r="30" spans="1:6" x14ac:dyDescent="0.3">
      <c r="A30" s="2"/>
      <c r="B30" s="2"/>
      <c r="C30" s="2"/>
      <c r="D30" s="2" t="s">
        <v>219</v>
      </c>
      <c r="E30" s="2" t="s">
        <v>185</v>
      </c>
      <c r="F30" s="2"/>
    </row>
    <row r="31" spans="1:6" x14ac:dyDescent="0.3">
      <c r="A31" s="2"/>
      <c r="B31" s="2"/>
      <c r="C31" s="2" t="s">
        <v>220</v>
      </c>
      <c r="D31" s="2" t="s">
        <v>221</v>
      </c>
      <c r="E31" s="2" t="s">
        <v>185</v>
      </c>
      <c r="F31" s="2"/>
    </row>
    <row r="32" spans="1:6" ht="25.05" x14ac:dyDescent="0.3">
      <c r="A32" s="2"/>
      <c r="B32" s="2" t="s">
        <v>222</v>
      </c>
      <c r="C32" s="2" t="s">
        <v>223</v>
      </c>
      <c r="D32" s="2" t="s">
        <v>224</v>
      </c>
      <c r="E32" s="2" t="s">
        <v>185</v>
      </c>
      <c r="F32" s="2" t="s">
        <v>225</v>
      </c>
    </row>
    <row r="33" spans="1:6" x14ac:dyDescent="0.3">
      <c r="A33" s="2"/>
      <c r="B33" s="2"/>
      <c r="C33" s="2"/>
      <c r="D33" s="2" t="s">
        <v>226</v>
      </c>
      <c r="E33" s="2" t="s">
        <v>185</v>
      </c>
      <c r="F33" s="2" t="s">
        <v>227</v>
      </c>
    </row>
    <row r="34" spans="1:6" x14ac:dyDescent="0.3">
      <c r="A34" s="2"/>
      <c r="B34" s="2"/>
      <c r="C34" s="2"/>
      <c r="D34" s="2" t="s">
        <v>228</v>
      </c>
      <c r="E34" s="2" t="s">
        <v>185</v>
      </c>
      <c r="F34" s="2" t="s">
        <v>229</v>
      </c>
    </row>
    <row r="35" spans="1:6" x14ac:dyDescent="0.3">
      <c r="A35" s="2"/>
      <c r="B35" s="2"/>
      <c r="C35" s="2"/>
      <c r="D35" s="2" t="s">
        <v>230</v>
      </c>
      <c r="E35" s="2" t="s">
        <v>185</v>
      </c>
      <c r="F35" s="2" t="s">
        <v>231</v>
      </c>
    </row>
    <row r="36" spans="1:6" x14ac:dyDescent="0.3">
      <c r="A36" s="2"/>
      <c r="B36" s="2"/>
      <c r="C36" s="2"/>
      <c r="D36" s="2" t="s">
        <v>232</v>
      </c>
      <c r="E36" s="2" t="s">
        <v>185</v>
      </c>
      <c r="F36" s="2" t="s">
        <v>233</v>
      </c>
    </row>
    <row r="37" spans="1:6" x14ac:dyDescent="0.3">
      <c r="A37" s="2"/>
      <c r="B37" s="2"/>
      <c r="C37" s="2"/>
      <c r="D37" s="2" t="s">
        <v>234</v>
      </c>
      <c r="E37" s="2" t="s">
        <v>185</v>
      </c>
      <c r="F37" s="2" t="s">
        <v>235</v>
      </c>
    </row>
    <row r="38" spans="1:6" x14ac:dyDescent="0.3">
      <c r="A38" s="2"/>
      <c r="B38" s="2"/>
      <c r="C38" s="2"/>
      <c r="D38" s="2" t="s">
        <v>236</v>
      </c>
      <c r="E38" s="2" t="s">
        <v>185</v>
      </c>
      <c r="F38" s="2" t="s">
        <v>237</v>
      </c>
    </row>
    <row r="39" spans="1:6" x14ac:dyDescent="0.3">
      <c r="A39" s="2"/>
      <c r="B39" s="2"/>
      <c r="C39" s="2"/>
      <c r="D39" s="2" t="s">
        <v>238</v>
      </c>
      <c r="E39" s="2" t="s">
        <v>185</v>
      </c>
      <c r="F39" s="2" t="s">
        <v>239</v>
      </c>
    </row>
    <row r="40" spans="1:6" x14ac:dyDescent="0.3">
      <c r="A40" s="2"/>
      <c r="B40" s="2"/>
      <c r="C40" s="2"/>
      <c r="D40" s="2" t="s">
        <v>240</v>
      </c>
      <c r="E40" s="2" t="s">
        <v>185</v>
      </c>
      <c r="F40" s="2" t="s">
        <v>241</v>
      </c>
    </row>
    <row r="41" spans="1:6" x14ac:dyDescent="0.3">
      <c r="A41" s="2"/>
      <c r="B41" s="2"/>
      <c r="C41" s="2"/>
      <c r="D41" s="2" t="s">
        <v>242</v>
      </c>
      <c r="E41" s="2" t="s">
        <v>185</v>
      </c>
      <c r="F41" s="2" t="s">
        <v>243</v>
      </c>
    </row>
    <row r="42" spans="1:6" x14ac:dyDescent="0.3">
      <c r="A42" s="2"/>
      <c r="B42" s="2"/>
      <c r="C42" s="2" t="s">
        <v>244</v>
      </c>
      <c r="D42" s="2" t="s">
        <v>245</v>
      </c>
      <c r="E42" s="2" t="s">
        <v>185</v>
      </c>
      <c r="F42" s="2" t="s">
        <v>246</v>
      </c>
    </row>
    <row r="43" spans="1:6" x14ac:dyDescent="0.3">
      <c r="A43" s="2"/>
      <c r="B43" s="2"/>
      <c r="C43" s="2"/>
      <c r="D43" s="2" t="s">
        <v>247</v>
      </c>
      <c r="E43" s="2" t="s">
        <v>185</v>
      </c>
      <c r="F43" s="2" t="s">
        <v>248</v>
      </c>
    </row>
    <row r="44" spans="1:6" x14ac:dyDescent="0.3">
      <c r="A44" s="2"/>
      <c r="B44" s="2"/>
      <c r="C44" s="2" t="s">
        <v>249</v>
      </c>
      <c r="D44" s="2" t="s">
        <v>250</v>
      </c>
      <c r="E44" s="2" t="s">
        <v>185</v>
      </c>
      <c r="F44" s="2" t="s">
        <v>251</v>
      </c>
    </row>
    <row r="45" spans="1:6" x14ac:dyDescent="0.3">
      <c r="A45" s="2"/>
      <c r="B45" s="2"/>
      <c r="C45" s="2"/>
      <c r="D45" s="2" t="s">
        <v>252</v>
      </c>
      <c r="E45" s="2" t="s">
        <v>185</v>
      </c>
      <c r="F45" s="2" t="s">
        <v>253</v>
      </c>
    </row>
    <row r="46" spans="1:6" x14ac:dyDescent="0.3">
      <c r="A46" s="2"/>
      <c r="B46" s="2"/>
      <c r="C46" s="2"/>
      <c r="D46" s="2" t="s">
        <v>254</v>
      </c>
      <c r="E46" s="2" t="s">
        <v>185</v>
      </c>
      <c r="F46" s="2" t="s">
        <v>255</v>
      </c>
    </row>
    <row r="47" spans="1:6" x14ac:dyDescent="0.3">
      <c r="A47" s="2"/>
      <c r="B47" s="2"/>
      <c r="C47" s="2"/>
      <c r="D47" s="2" t="s">
        <v>256</v>
      </c>
      <c r="E47" s="2" t="s">
        <v>185</v>
      </c>
      <c r="F47" s="2" t="s">
        <v>257</v>
      </c>
    </row>
    <row r="48" spans="1:6" x14ac:dyDescent="0.3">
      <c r="A48" s="2"/>
      <c r="B48" s="2"/>
      <c r="C48" s="2"/>
      <c r="D48" s="2" t="s">
        <v>258</v>
      </c>
      <c r="E48" s="2" t="s">
        <v>185</v>
      </c>
      <c r="F48" s="2" t="s">
        <v>259</v>
      </c>
    </row>
    <row r="49" spans="1:6" x14ac:dyDescent="0.3">
      <c r="A49" s="2"/>
      <c r="B49" s="2"/>
      <c r="C49" s="2"/>
      <c r="D49" s="2" t="s">
        <v>260</v>
      </c>
      <c r="E49" s="2" t="s">
        <v>185</v>
      </c>
      <c r="F49" s="2" t="s">
        <v>261</v>
      </c>
    </row>
    <row r="50" spans="1:6" x14ac:dyDescent="0.3">
      <c r="A50" s="2"/>
      <c r="B50" s="2"/>
      <c r="C50" s="2"/>
      <c r="D50" s="2" t="s">
        <v>262</v>
      </c>
      <c r="E50" s="2" t="s">
        <v>185</v>
      </c>
      <c r="F50" s="2" t="s">
        <v>263</v>
      </c>
    </row>
    <row r="51" spans="1:6" x14ac:dyDescent="0.3">
      <c r="A51" s="2"/>
      <c r="B51" s="2"/>
      <c r="C51" s="2" t="s">
        <v>264</v>
      </c>
      <c r="D51" s="2" t="s">
        <v>265</v>
      </c>
      <c r="E51" s="2" t="s">
        <v>185</v>
      </c>
      <c r="F51" s="2" t="s">
        <v>266</v>
      </c>
    </row>
    <row r="52" spans="1:6" x14ac:dyDescent="0.3">
      <c r="A52" s="2"/>
      <c r="B52" s="2"/>
      <c r="C52" s="2"/>
      <c r="D52" s="2" t="s">
        <v>267</v>
      </c>
      <c r="E52" s="2" t="s">
        <v>185</v>
      </c>
      <c r="F52" s="2" t="s">
        <v>268</v>
      </c>
    </row>
    <row r="53" spans="1:6" x14ac:dyDescent="0.3">
      <c r="A53" s="2"/>
      <c r="B53" s="2"/>
      <c r="C53" s="2"/>
      <c r="D53" s="2" t="s">
        <v>269</v>
      </c>
      <c r="E53" s="2" t="s">
        <v>185</v>
      </c>
      <c r="F53" s="2" t="s">
        <v>270</v>
      </c>
    </row>
    <row r="54" spans="1:6" x14ac:dyDescent="0.3">
      <c r="A54" s="2"/>
      <c r="B54" s="2"/>
      <c r="C54" s="2"/>
      <c r="D54" s="2" t="s">
        <v>271</v>
      </c>
      <c r="E54" s="2" t="s">
        <v>185</v>
      </c>
      <c r="F54" s="2" t="s">
        <v>272</v>
      </c>
    </row>
    <row r="55" spans="1:6" x14ac:dyDescent="0.3">
      <c r="A55" s="2"/>
      <c r="B55" s="2"/>
      <c r="C55" s="2" t="s">
        <v>273</v>
      </c>
      <c r="D55" s="2" t="s">
        <v>274</v>
      </c>
      <c r="E55" s="2" t="s">
        <v>185</v>
      </c>
      <c r="F55" s="2" t="s">
        <v>275</v>
      </c>
    </row>
    <row r="56" spans="1:6" x14ac:dyDescent="0.3">
      <c r="A56" s="2"/>
      <c r="B56" s="2"/>
      <c r="C56" s="2"/>
      <c r="D56" s="2" t="s">
        <v>276</v>
      </c>
      <c r="E56" s="2" t="s">
        <v>185</v>
      </c>
      <c r="F56" s="2" t="s">
        <v>277</v>
      </c>
    </row>
    <row r="57" spans="1:6" x14ac:dyDescent="0.3">
      <c r="A57" s="2"/>
      <c r="B57" s="2"/>
      <c r="C57" s="2"/>
      <c r="D57" s="2" t="s">
        <v>278</v>
      </c>
      <c r="E57" s="2" t="s">
        <v>185</v>
      </c>
      <c r="F57" s="2" t="s">
        <v>279</v>
      </c>
    </row>
    <row r="58" spans="1:6" x14ac:dyDescent="0.3">
      <c r="A58" s="2"/>
      <c r="B58" s="2"/>
      <c r="C58" s="2"/>
      <c r="D58" s="2" t="s">
        <v>280</v>
      </c>
      <c r="E58" s="2" t="s">
        <v>185</v>
      </c>
      <c r="F58" s="2" t="s">
        <v>281</v>
      </c>
    </row>
    <row r="59" spans="1:6" x14ac:dyDescent="0.3">
      <c r="A59" s="2"/>
      <c r="B59" s="2"/>
      <c r="C59" s="2"/>
      <c r="D59" s="2" t="s">
        <v>282</v>
      </c>
      <c r="E59" s="2" t="s">
        <v>185</v>
      </c>
      <c r="F59" s="2" t="s">
        <v>283</v>
      </c>
    </row>
    <row r="60" spans="1:6" x14ac:dyDescent="0.3">
      <c r="A60" s="2"/>
      <c r="B60" s="2"/>
      <c r="C60" s="2" t="s">
        <v>284</v>
      </c>
      <c r="D60" s="2" t="s">
        <v>285</v>
      </c>
      <c r="E60" s="2" t="s">
        <v>185</v>
      </c>
      <c r="F60" s="2" t="s">
        <v>286</v>
      </c>
    </row>
    <row r="61" spans="1:6" x14ac:dyDescent="0.3">
      <c r="A61" s="2"/>
      <c r="B61" s="2"/>
      <c r="C61" s="2" t="s">
        <v>287</v>
      </c>
      <c r="D61" s="2" t="s">
        <v>288</v>
      </c>
      <c r="E61" s="2" t="s">
        <v>201</v>
      </c>
      <c r="F61" s="2" t="s">
        <v>289</v>
      </c>
    </row>
    <row r="62" spans="1:6" x14ac:dyDescent="0.3">
      <c r="A62" s="2"/>
      <c r="B62" s="2" t="s">
        <v>290</v>
      </c>
      <c r="C62" s="2" t="s">
        <v>291</v>
      </c>
      <c r="D62" s="2" t="s">
        <v>292</v>
      </c>
      <c r="E62" s="2" t="s">
        <v>185</v>
      </c>
      <c r="F62" s="2" t="s">
        <v>293</v>
      </c>
    </row>
    <row r="63" spans="1:6" x14ac:dyDescent="0.3">
      <c r="A63" s="2"/>
      <c r="B63" s="2"/>
      <c r="C63" s="2"/>
      <c r="D63" s="2" t="s">
        <v>294</v>
      </c>
      <c r="E63" s="2" t="s">
        <v>185</v>
      </c>
      <c r="F63" s="2" t="s">
        <v>295</v>
      </c>
    </row>
    <row r="64" spans="1:6" x14ac:dyDescent="0.3">
      <c r="A64" s="2"/>
      <c r="B64" s="2"/>
      <c r="C64" s="2"/>
      <c r="D64" s="2" t="s">
        <v>296</v>
      </c>
      <c r="E64" s="2" t="s">
        <v>185</v>
      </c>
      <c r="F64" s="2" t="s">
        <v>297</v>
      </c>
    </row>
    <row r="65" spans="1:6" x14ac:dyDescent="0.3">
      <c r="A65" s="2"/>
      <c r="B65" s="2"/>
      <c r="C65" s="2"/>
      <c r="D65" s="2" t="s">
        <v>298</v>
      </c>
      <c r="E65" s="2" t="s">
        <v>185</v>
      </c>
      <c r="F65" s="2" t="s">
        <v>299</v>
      </c>
    </row>
    <row r="66" spans="1:6" x14ac:dyDescent="0.3">
      <c r="A66" s="2"/>
      <c r="B66" s="2"/>
      <c r="C66" s="2"/>
      <c r="D66" s="2" t="s">
        <v>300</v>
      </c>
      <c r="E66" s="2" t="s">
        <v>185</v>
      </c>
      <c r="F66" s="2" t="s">
        <v>301</v>
      </c>
    </row>
    <row r="67" spans="1:6" x14ac:dyDescent="0.3">
      <c r="A67" s="2"/>
      <c r="B67" s="2"/>
      <c r="C67" s="2"/>
      <c r="D67" s="2" t="s">
        <v>302</v>
      </c>
      <c r="E67" s="2" t="s">
        <v>185</v>
      </c>
      <c r="F67" s="2" t="s">
        <v>303</v>
      </c>
    </row>
    <row r="68" spans="1:6" x14ac:dyDescent="0.3">
      <c r="A68" s="2"/>
      <c r="B68" s="2"/>
      <c r="C68" s="2" t="s">
        <v>304</v>
      </c>
      <c r="D68" s="2" t="s">
        <v>305</v>
      </c>
      <c r="E68" s="2" t="s">
        <v>185</v>
      </c>
      <c r="F68" s="2" t="s">
        <v>306</v>
      </c>
    </row>
    <row r="69" spans="1:6" x14ac:dyDescent="0.3">
      <c r="A69" s="2"/>
      <c r="B69" s="2"/>
      <c r="C69" s="2"/>
      <c r="D69" s="2" t="s">
        <v>307</v>
      </c>
      <c r="E69" s="2" t="s">
        <v>185</v>
      </c>
      <c r="F69" s="2" t="s">
        <v>308</v>
      </c>
    </row>
    <row r="70" spans="1:6" x14ac:dyDescent="0.3">
      <c r="A70" s="2"/>
      <c r="B70" s="2"/>
      <c r="C70" s="2"/>
      <c r="D70" s="2" t="s">
        <v>309</v>
      </c>
      <c r="E70" s="2" t="s">
        <v>185</v>
      </c>
      <c r="F70" s="2" t="s">
        <v>310</v>
      </c>
    </row>
    <row r="71" spans="1:6" x14ac:dyDescent="0.3">
      <c r="A71" s="2"/>
      <c r="B71" s="2"/>
      <c r="C71" s="2"/>
      <c r="D71" s="2" t="s">
        <v>311</v>
      </c>
      <c r="E71" s="2" t="s">
        <v>185</v>
      </c>
      <c r="F71" s="2" t="s">
        <v>312</v>
      </c>
    </row>
    <row r="72" spans="1:6" x14ac:dyDescent="0.3">
      <c r="A72" s="2"/>
      <c r="B72" s="2"/>
      <c r="C72" s="2"/>
      <c r="D72" s="2" t="s">
        <v>313</v>
      </c>
      <c r="E72" s="2" t="s">
        <v>185</v>
      </c>
      <c r="F72" s="2" t="s">
        <v>314</v>
      </c>
    </row>
    <row r="73" spans="1:6" x14ac:dyDescent="0.3">
      <c r="A73" s="2"/>
      <c r="B73" s="2"/>
      <c r="C73" s="2"/>
      <c r="D73" s="2" t="s">
        <v>315</v>
      </c>
      <c r="E73" s="2" t="s">
        <v>185</v>
      </c>
      <c r="F73" s="2" t="s">
        <v>316</v>
      </c>
    </row>
    <row r="74" spans="1:6" x14ac:dyDescent="0.3">
      <c r="A74" s="2"/>
      <c r="B74" s="2"/>
      <c r="C74" s="2"/>
      <c r="D74" s="2" t="s">
        <v>317</v>
      </c>
      <c r="E74" s="2" t="s">
        <v>185</v>
      </c>
      <c r="F74" s="2" t="s">
        <v>318</v>
      </c>
    </row>
    <row r="75" spans="1:6" ht="25.05" x14ac:dyDescent="0.3">
      <c r="A75" s="2"/>
      <c r="B75" s="2"/>
      <c r="C75" s="2" t="s">
        <v>319</v>
      </c>
      <c r="D75" s="2" t="s">
        <v>320</v>
      </c>
      <c r="E75" s="2" t="s">
        <v>185</v>
      </c>
      <c r="F75" s="2" t="s">
        <v>321</v>
      </c>
    </row>
    <row r="76" spans="1:6" x14ac:dyDescent="0.3">
      <c r="A76" s="2"/>
      <c r="B76" s="2"/>
      <c r="C76" s="2"/>
      <c r="D76" s="2" t="s">
        <v>322</v>
      </c>
      <c r="E76" s="2" t="s">
        <v>185</v>
      </c>
      <c r="F76" s="2" t="s">
        <v>323</v>
      </c>
    </row>
    <row r="77" spans="1:6" x14ac:dyDescent="0.3">
      <c r="A77" s="2"/>
      <c r="B77" s="2"/>
      <c r="C77" s="2"/>
      <c r="D77" s="2" t="s">
        <v>324</v>
      </c>
      <c r="E77" s="2" t="s">
        <v>185</v>
      </c>
      <c r="F77" s="2" t="s">
        <v>325</v>
      </c>
    </row>
    <row r="78" spans="1:6" x14ac:dyDescent="0.3">
      <c r="A78" s="2"/>
      <c r="B78" s="2"/>
      <c r="C78" s="2"/>
      <c r="D78" s="2" t="s">
        <v>326</v>
      </c>
      <c r="E78" s="2" t="s">
        <v>185</v>
      </c>
      <c r="F78" s="2" t="s">
        <v>327</v>
      </c>
    </row>
    <row r="79" spans="1:6" x14ac:dyDescent="0.3">
      <c r="A79" s="2"/>
      <c r="B79" s="2"/>
      <c r="C79" s="2"/>
      <c r="D79" s="2" t="s">
        <v>328</v>
      </c>
      <c r="E79" s="2" t="s">
        <v>185</v>
      </c>
      <c r="F79" s="2" t="s">
        <v>329</v>
      </c>
    </row>
    <row r="80" spans="1:6" x14ac:dyDescent="0.3">
      <c r="A80" s="2"/>
      <c r="B80" s="2"/>
      <c r="C80" s="2"/>
      <c r="D80" s="2" t="s">
        <v>330</v>
      </c>
      <c r="E80" s="2" t="s">
        <v>185</v>
      </c>
      <c r="F80" s="2" t="s">
        <v>331</v>
      </c>
    </row>
    <row r="81" spans="1:6" x14ac:dyDescent="0.3">
      <c r="A81" s="2"/>
      <c r="B81" s="2"/>
      <c r="C81" s="2"/>
      <c r="D81" s="2" t="s">
        <v>332</v>
      </c>
      <c r="E81" s="2" t="s">
        <v>185</v>
      </c>
      <c r="F81" s="2" t="s">
        <v>333</v>
      </c>
    </row>
    <row r="82" spans="1:6" x14ac:dyDescent="0.3">
      <c r="A82" s="2"/>
      <c r="B82" s="2"/>
      <c r="C82" s="2"/>
      <c r="D82" s="2" t="s">
        <v>334</v>
      </c>
      <c r="E82" s="2" t="s">
        <v>185</v>
      </c>
      <c r="F82" s="2" t="s">
        <v>335</v>
      </c>
    </row>
    <row r="83" spans="1:6" x14ac:dyDescent="0.3">
      <c r="A83" s="2"/>
      <c r="B83" s="2"/>
      <c r="C83" s="2" t="s">
        <v>336</v>
      </c>
      <c r="D83" s="2" t="s">
        <v>337</v>
      </c>
      <c r="E83" s="2" t="s">
        <v>185</v>
      </c>
      <c r="F83" s="2" t="s">
        <v>338</v>
      </c>
    </row>
    <row r="84" spans="1:6" x14ac:dyDescent="0.3">
      <c r="A84" s="2"/>
      <c r="B84" s="2"/>
      <c r="C84" s="2"/>
      <c r="D84" s="2" t="s">
        <v>339</v>
      </c>
      <c r="E84" s="2" t="s">
        <v>185</v>
      </c>
      <c r="F84" s="2" t="s">
        <v>340</v>
      </c>
    </row>
    <row r="85" spans="1:6" x14ac:dyDescent="0.3">
      <c r="A85" s="2"/>
      <c r="B85" s="2"/>
      <c r="C85" s="2"/>
      <c r="D85" s="2" t="s">
        <v>341</v>
      </c>
      <c r="E85" s="2" t="s">
        <v>185</v>
      </c>
      <c r="F85" s="2" t="s">
        <v>342</v>
      </c>
    </row>
    <row r="86" spans="1:6" x14ac:dyDescent="0.3">
      <c r="A86" s="2"/>
      <c r="B86" s="2"/>
      <c r="C86" s="2"/>
      <c r="D86" s="2" t="s">
        <v>343</v>
      </c>
      <c r="E86" s="2" t="s">
        <v>185</v>
      </c>
      <c r="F86" s="2" t="s">
        <v>344</v>
      </c>
    </row>
    <row r="87" spans="1:6" x14ac:dyDescent="0.3">
      <c r="A87" s="2"/>
      <c r="B87" s="2"/>
      <c r="C87" s="2"/>
      <c r="D87" s="2" t="s">
        <v>334</v>
      </c>
      <c r="E87" s="2" t="s">
        <v>185</v>
      </c>
      <c r="F87" s="2" t="s">
        <v>345</v>
      </c>
    </row>
    <row r="88" spans="1:6" x14ac:dyDescent="0.3">
      <c r="A88" s="2"/>
      <c r="B88" s="2"/>
      <c r="C88" s="2"/>
      <c r="D88" s="2" t="s">
        <v>346</v>
      </c>
      <c r="E88" s="2" t="s">
        <v>185</v>
      </c>
      <c r="F88" s="2" t="s">
        <v>347</v>
      </c>
    </row>
    <row r="89" spans="1:6" x14ac:dyDescent="0.3">
      <c r="A89" s="2"/>
      <c r="B89" s="2"/>
      <c r="C89" s="2"/>
      <c r="D89" s="2" t="s">
        <v>348</v>
      </c>
      <c r="E89" s="2" t="s">
        <v>185</v>
      </c>
      <c r="F89" s="2" t="s">
        <v>349</v>
      </c>
    </row>
    <row r="90" spans="1:6" x14ac:dyDescent="0.3">
      <c r="A90" s="2"/>
      <c r="B90" s="2"/>
      <c r="C90" s="2" t="s">
        <v>350</v>
      </c>
      <c r="D90" s="2" t="s">
        <v>351</v>
      </c>
      <c r="E90" s="2" t="s">
        <v>185</v>
      </c>
      <c r="F90" s="2" t="s">
        <v>352</v>
      </c>
    </row>
    <row r="91" spans="1:6" x14ac:dyDescent="0.3">
      <c r="A91" s="2"/>
      <c r="B91" s="2"/>
      <c r="C91" s="2" t="s">
        <v>287</v>
      </c>
      <c r="D91" s="2" t="s">
        <v>353</v>
      </c>
      <c r="E91" s="2" t="s">
        <v>201</v>
      </c>
      <c r="F91" s="2" t="s">
        <v>354</v>
      </c>
    </row>
    <row r="93" spans="1:6" x14ac:dyDescent="0.3">
      <c r="D93" t="s">
        <v>355</v>
      </c>
      <c r="E93">
        <f>COUNTA(D2:D91)</f>
        <v>90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38"/>
  <sheetViews>
    <sheetView tabSelected="1" workbookViewId="0">
      <pane ySplit="8" topLeftCell="A13" activePane="bottomLeft" state="frozen"/>
      <selection pane="bottomLeft" activeCell="C6" sqref="C6"/>
    </sheetView>
  </sheetViews>
  <sheetFormatPr defaultRowHeight="15.05" x14ac:dyDescent="0.3"/>
  <cols>
    <col min="1" max="1" width="13" customWidth="1"/>
    <col min="2" max="2" width="34" customWidth="1"/>
    <col min="3" max="4" width="58" customWidth="1"/>
    <col min="5" max="5" width="16" customWidth="1"/>
    <col min="6" max="6" width="12" customWidth="1"/>
    <col min="7" max="7" width="11" customWidth="1"/>
    <col min="8" max="8" width="38" customWidth="1"/>
    <col min="9" max="9" width="3" customWidth="1"/>
    <col min="10" max="10" width="10" customWidth="1"/>
    <col min="11" max="11" width="3" customWidth="1"/>
    <col min="12" max="12" width="60" customWidth="1"/>
  </cols>
  <sheetData>
    <row r="2" spans="1:12" ht="25.05" customHeight="1" x14ac:dyDescent="0.3">
      <c r="A2" s="3" t="s">
        <v>0</v>
      </c>
      <c r="B2" s="16" t="s">
        <v>1</v>
      </c>
      <c r="C2" s="13"/>
      <c r="D2" s="13"/>
      <c r="E2" s="13"/>
      <c r="F2" s="13"/>
      <c r="G2" s="13"/>
      <c r="H2" s="14"/>
      <c r="J2" s="4"/>
      <c r="L2" s="5" t="s">
        <v>2</v>
      </c>
    </row>
    <row r="3" spans="1:12" ht="25.05" customHeight="1" x14ac:dyDescent="0.3">
      <c r="A3" s="3" t="s">
        <v>3</v>
      </c>
      <c r="B3" s="16" t="s">
        <v>4</v>
      </c>
      <c r="C3" s="13"/>
      <c r="D3" s="13"/>
      <c r="E3" s="13"/>
      <c r="F3" s="13"/>
      <c r="G3" s="13"/>
      <c r="H3" s="14"/>
      <c r="J3" s="4"/>
      <c r="L3" s="6" t="s">
        <v>5</v>
      </c>
    </row>
    <row r="4" spans="1:12" ht="25.05" customHeight="1" x14ac:dyDescent="0.3">
      <c r="A4" s="3" t="s">
        <v>6</v>
      </c>
      <c r="B4" s="16" t="s">
        <v>7</v>
      </c>
      <c r="C4" s="13"/>
      <c r="D4" s="13"/>
      <c r="E4" s="13"/>
      <c r="F4" s="13"/>
      <c r="G4" s="13"/>
      <c r="H4" s="14"/>
      <c r="J4" s="4"/>
      <c r="L4" s="6" t="s">
        <v>8</v>
      </c>
    </row>
    <row r="5" spans="1:12" ht="25.05" x14ac:dyDescent="0.3">
      <c r="A5" s="7" t="s">
        <v>9</v>
      </c>
      <c r="B5" s="7" t="s">
        <v>10</v>
      </c>
      <c r="C5" s="7" t="s">
        <v>11</v>
      </c>
      <c r="D5" s="7" t="s">
        <v>12</v>
      </c>
      <c r="E5" s="7" t="s">
        <v>13</v>
      </c>
      <c r="F5" s="15" t="s">
        <v>14</v>
      </c>
      <c r="G5" s="13"/>
      <c r="H5" s="14"/>
      <c r="J5" s="4"/>
      <c r="L5" s="6" t="s">
        <v>15</v>
      </c>
    </row>
    <row r="6" spans="1:12" ht="25.05" customHeight="1" x14ac:dyDescent="0.3">
      <c r="A6" s="8">
        <f>COUNTIF(F9:F996,"Passed")</f>
        <v>29</v>
      </c>
      <c r="B6" s="8">
        <v>1</v>
      </c>
      <c r="C6" s="8">
        <f>F6-E6-D6-B6-A6</f>
        <v>0</v>
      </c>
      <c r="D6" s="8">
        <v>0</v>
      </c>
      <c r="E6" s="8">
        <f>COUNTIF(F$9:F$996,"Skipped")</f>
        <v>0</v>
      </c>
      <c r="F6" s="12">
        <f>COUNTA(A9:A996)</f>
        <v>30</v>
      </c>
      <c r="G6" s="13"/>
      <c r="H6" s="14"/>
      <c r="J6" s="4"/>
      <c r="L6" s="6" t="s">
        <v>16</v>
      </c>
    </row>
    <row r="8" spans="1:12" ht="25.05" customHeight="1" x14ac:dyDescent="0.3">
      <c r="A8" s="9" t="s">
        <v>17</v>
      </c>
      <c r="B8" s="9" t="s">
        <v>18</v>
      </c>
      <c r="C8" s="9" t="s">
        <v>19</v>
      </c>
      <c r="D8" s="9" t="s">
        <v>20</v>
      </c>
      <c r="E8" s="9" t="s">
        <v>21</v>
      </c>
      <c r="F8" s="9" t="s">
        <v>22</v>
      </c>
      <c r="G8" s="9" t="s">
        <v>23</v>
      </c>
      <c r="H8" s="9" t="s">
        <v>24</v>
      </c>
    </row>
    <row r="9" spans="1:12" ht="136.05000000000001" customHeight="1" x14ac:dyDescent="0.3">
      <c r="A9" s="10" t="s">
        <v>25</v>
      </c>
      <c r="B9" s="10" t="s">
        <v>26</v>
      </c>
      <c r="C9" s="10" t="s">
        <v>27</v>
      </c>
      <c r="D9" s="10" t="s">
        <v>28</v>
      </c>
      <c r="E9" s="11"/>
      <c r="F9" s="10" t="s">
        <v>9</v>
      </c>
      <c r="G9" s="10" t="s">
        <v>29</v>
      </c>
      <c r="H9" s="10" t="s">
        <v>30</v>
      </c>
    </row>
    <row r="10" spans="1:12" ht="123.05" customHeight="1" x14ac:dyDescent="0.3">
      <c r="A10" s="10" t="s">
        <v>31</v>
      </c>
      <c r="B10" s="10" t="s">
        <v>32</v>
      </c>
      <c r="C10" s="10" t="s">
        <v>33</v>
      </c>
      <c r="D10" s="10" t="s">
        <v>34</v>
      </c>
      <c r="E10" s="11" t="s">
        <v>25</v>
      </c>
      <c r="F10" s="10" t="s">
        <v>9</v>
      </c>
      <c r="G10" s="10" t="s">
        <v>29</v>
      </c>
      <c r="H10" s="10" t="s">
        <v>35</v>
      </c>
    </row>
    <row r="11" spans="1:12" ht="123.05" customHeight="1" x14ac:dyDescent="0.3">
      <c r="A11" s="10" t="s">
        <v>36</v>
      </c>
      <c r="B11" s="10" t="s">
        <v>37</v>
      </c>
      <c r="C11" s="10" t="s">
        <v>38</v>
      </c>
      <c r="D11" s="10" t="s">
        <v>39</v>
      </c>
      <c r="E11" s="11"/>
      <c r="F11" s="10" t="s">
        <v>9</v>
      </c>
      <c r="G11" s="10" t="s">
        <v>29</v>
      </c>
      <c r="H11" s="10" t="s">
        <v>40</v>
      </c>
    </row>
    <row r="12" spans="1:12" ht="110.05" customHeight="1" x14ac:dyDescent="0.3">
      <c r="A12" s="10" t="s">
        <v>41</v>
      </c>
      <c r="B12" s="10" t="s">
        <v>42</v>
      </c>
      <c r="C12" s="10" t="s">
        <v>43</v>
      </c>
      <c r="D12" s="10" t="s">
        <v>44</v>
      </c>
      <c r="E12" s="11"/>
      <c r="F12" s="10" t="s">
        <v>9</v>
      </c>
      <c r="G12" s="10" t="s">
        <v>29</v>
      </c>
      <c r="H12" s="10" t="s">
        <v>45</v>
      </c>
    </row>
    <row r="13" spans="1:12" ht="110.05" customHeight="1" x14ac:dyDescent="0.3">
      <c r="A13" s="10" t="s">
        <v>46</v>
      </c>
      <c r="B13" s="10" t="s">
        <v>47</v>
      </c>
      <c r="C13" s="10" t="s">
        <v>48</v>
      </c>
      <c r="D13" s="10" t="s">
        <v>49</v>
      </c>
      <c r="E13" s="11"/>
      <c r="F13" s="10" t="s">
        <v>9</v>
      </c>
      <c r="G13" s="10" t="s">
        <v>29</v>
      </c>
      <c r="H13" s="10" t="s">
        <v>50</v>
      </c>
    </row>
    <row r="14" spans="1:12" ht="110.05" customHeight="1" x14ac:dyDescent="0.3">
      <c r="A14" s="10" t="s">
        <v>51</v>
      </c>
      <c r="B14" s="10" t="s">
        <v>52</v>
      </c>
      <c r="C14" s="10" t="s">
        <v>53</v>
      </c>
      <c r="D14" s="10" t="s">
        <v>54</v>
      </c>
      <c r="E14" s="11" t="s">
        <v>25</v>
      </c>
      <c r="F14" s="10" t="s">
        <v>9</v>
      </c>
      <c r="G14" s="10" t="s">
        <v>29</v>
      </c>
      <c r="H14" s="10" t="s">
        <v>55</v>
      </c>
    </row>
    <row r="15" spans="1:12" ht="136.05000000000001" customHeight="1" x14ac:dyDescent="0.3">
      <c r="A15" s="10" t="s">
        <v>56</v>
      </c>
      <c r="B15" s="10" t="s">
        <v>57</v>
      </c>
      <c r="C15" s="10" t="s">
        <v>58</v>
      </c>
      <c r="D15" s="10" t="s">
        <v>59</v>
      </c>
      <c r="E15" s="11" t="s">
        <v>25</v>
      </c>
      <c r="F15" s="10" t="s">
        <v>9</v>
      </c>
      <c r="G15" s="10" t="s">
        <v>29</v>
      </c>
      <c r="H15" s="10" t="s">
        <v>60</v>
      </c>
    </row>
    <row r="16" spans="1:12" ht="136.05000000000001" customHeight="1" x14ac:dyDescent="0.3">
      <c r="A16" s="10" t="s">
        <v>61</v>
      </c>
      <c r="B16" s="10" t="s">
        <v>62</v>
      </c>
      <c r="C16" s="10" t="s">
        <v>63</v>
      </c>
      <c r="D16" s="10" t="s">
        <v>64</v>
      </c>
      <c r="E16" s="11"/>
      <c r="F16" s="17" t="s">
        <v>610</v>
      </c>
      <c r="G16" s="10" t="s">
        <v>29</v>
      </c>
      <c r="H16" s="10" t="s">
        <v>65</v>
      </c>
    </row>
    <row r="17" spans="1:8" ht="123.05" customHeight="1" x14ac:dyDescent="0.3">
      <c r="A17" s="10" t="s">
        <v>66</v>
      </c>
      <c r="B17" s="10" t="s">
        <v>67</v>
      </c>
      <c r="C17" s="10" t="s">
        <v>68</v>
      </c>
      <c r="D17" s="10" t="s">
        <v>69</v>
      </c>
      <c r="E17" s="11"/>
      <c r="F17" s="10" t="s">
        <v>9</v>
      </c>
      <c r="G17" s="10" t="s">
        <v>29</v>
      </c>
      <c r="H17" s="10" t="s">
        <v>70</v>
      </c>
    </row>
    <row r="18" spans="1:8" ht="123.05" customHeight="1" x14ac:dyDescent="0.3">
      <c r="A18" s="10" t="s">
        <v>71</v>
      </c>
      <c r="B18" s="10" t="s">
        <v>72</v>
      </c>
      <c r="C18" s="10" t="s">
        <v>73</v>
      </c>
      <c r="D18" s="10" t="s">
        <v>74</v>
      </c>
      <c r="E18" s="11"/>
      <c r="F18" s="10" t="s">
        <v>9</v>
      </c>
      <c r="G18" s="10" t="s">
        <v>29</v>
      </c>
      <c r="H18" s="10" t="s">
        <v>75</v>
      </c>
    </row>
    <row r="19" spans="1:8" ht="110.05" customHeight="1" x14ac:dyDescent="0.3">
      <c r="A19" s="10" t="s">
        <v>76</v>
      </c>
      <c r="B19" s="10" t="s">
        <v>77</v>
      </c>
      <c r="C19" s="10" t="s">
        <v>78</v>
      </c>
      <c r="D19" s="10" t="s">
        <v>79</v>
      </c>
      <c r="E19" s="11"/>
      <c r="F19" s="10" t="s">
        <v>9</v>
      </c>
      <c r="G19" s="10" t="s">
        <v>29</v>
      </c>
      <c r="H19" s="10" t="s">
        <v>80</v>
      </c>
    </row>
    <row r="20" spans="1:8" ht="97.05" customHeight="1" x14ac:dyDescent="0.3">
      <c r="A20" s="10" t="s">
        <v>81</v>
      </c>
      <c r="B20" s="10" t="s">
        <v>82</v>
      </c>
      <c r="C20" s="10" t="s">
        <v>83</v>
      </c>
      <c r="D20" s="10" t="s">
        <v>84</v>
      </c>
      <c r="E20" s="11" t="s">
        <v>56</v>
      </c>
      <c r="F20" s="10" t="s">
        <v>9</v>
      </c>
      <c r="G20" s="10" t="s">
        <v>29</v>
      </c>
      <c r="H20" s="10" t="s">
        <v>85</v>
      </c>
    </row>
    <row r="21" spans="1:8" ht="149.05000000000001" customHeight="1" x14ac:dyDescent="0.3">
      <c r="A21" s="10" t="s">
        <v>86</v>
      </c>
      <c r="B21" s="10" t="s">
        <v>87</v>
      </c>
      <c r="C21" s="10" t="s">
        <v>88</v>
      </c>
      <c r="D21" s="10" t="s">
        <v>89</v>
      </c>
      <c r="E21" s="11"/>
      <c r="F21" s="10" t="s">
        <v>9</v>
      </c>
      <c r="G21" s="10" t="s">
        <v>29</v>
      </c>
      <c r="H21" s="10" t="s">
        <v>90</v>
      </c>
    </row>
    <row r="22" spans="1:8" ht="110.05" customHeight="1" x14ac:dyDescent="0.3">
      <c r="A22" s="10" t="s">
        <v>91</v>
      </c>
      <c r="B22" s="10" t="s">
        <v>92</v>
      </c>
      <c r="C22" s="10" t="s">
        <v>93</v>
      </c>
      <c r="D22" s="10" t="s">
        <v>94</v>
      </c>
      <c r="E22" s="11"/>
      <c r="F22" s="10" t="s">
        <v>9</v>
      </c>
      <c r="G22" s="10" t="s">
        <v>29</v>
      </c>
      <c r="H22" s="10" t="s">
        <v>95</v>
      </c>
    </row>
    <row r="23" spans="1:8" ht="123.05" customHeight="1" x14ac:dyDescent="0.3">
      <c r="A23" s="10" t="s">
        <v>96</v>
      </c>
      <c r="B23" s="10" t="s">
        <v>97</v>
      </c>
      <c r="C23" s="10" t="s">
        <v>98</v>
      </c>
      <c r="D23" s="10" t="s">
        <v>99</v>
      </c>
      <c r="E23" s="11"/>
      <c r="F23" s="10" t="s">
        <v>9</v>
      </c>
      <c r="G23" s="10" t="s">
        <v>29</v>
      </c>
      <c r="H23" s="10" t="s">
        <v>100</v>
      </c>
    </row>
    <row r="24" spans="1:8" ht="110.05" customHeight="1" x14ac:dyDescent="0.3">
      <c r="A24" s="10" t="s">
        <v>101</v>
      </c>
      <c r="B24" s="10" t="s">
        <v>102</v>
      </c>
      <c r="C24" s="10" t="s">
        <v>103</v>
      </c>
      <c r="D24" s="10" t="s">
        <v>104</v>
      </c>
      <c r="E24" s="11" t="s">
        <v>25</v>
      </c>
      <c r="F24" s="10" t="s">
        <v>9</v>
      </c>
      <c r="G24" s="10" t="s">
        <v>29</v>
      </c>
      <c r="H24" s="10" t="s">
        <v>105</v>
      </c>
    </row>
    <row r="25" spans="1:8" ht="97.05" customHeight="1" x14ac:dyDescent="0.3">
      <c r="A25" s="10" t="s">
        <v>106</v>
      </c>
      <c r="B25" s="10" t="s">
        <v>107</v>
      </c>
      <c r="C25" s="10" t="s">
        <v>108</v>
      </c>
      <c r="D25" s="10" t="s">
        <v>109</v>
      </c>
      <c r="E25" s="11" t="s">
        <v>101</v>
      </c>
      <c r="F25" s="10" t="s">
        <v>9</v>
      </c>
      <c r="G25" s="10" t="s">
        <v>29</v>
      </c>
      <c r="H25" s="10" t="s">
        <v>110</v>
      </c>
    </row>
    <row r="26" spans="1:8" ht="123.05" customHeight="1" x14ac:dyDescent="0.3">
      <c r="A26" s="10" t="s">
        <v>111</v>
      </c>
      <c r="B26" s="10" t="s">
        <v>112</v>
      </c>
      <c r="C26" s="10" t="s">
        <v>113</v>
      </c>
      <c r="D26" s="10" t="s">
        <v>114</v>
      </c>
      <c r="E26" s="11" t="s">
        <v>106</v>
      </c>
      <c r="F26" s="10" t="s">
        <v>9</v>
      </c>
      <c r="G26" s="10" t="s">
        <v>29</v>
      </c>
      <c r="H26" s="10" t="s">
        <v>115</v>
      </c>
    </row>
    <row r="27" spans="1:8" ht="136.05000000000001" customHeight="1" x14ac:dyDescent="0.3">
      <c r="A27" s="10" t="s">
        <v>116</v>
      </c>
      <c r="B27" s="10" t="s">
        <v>117</v>
      </c>
      <c r="C27" s="10" t="s">
        <v>118</v>
      </c>
      <c r="D27" s="10" t="s">
        <v>119</v>
      </c>
      <c r="E27" s="11" t="s">
        <v>101</v>
      </c>
      <c r="F27" s="10" t="s">
        <v>9</v>
      </c>
      <c r="G27" s="10" t="s">
        <v>29</v>
      </c>
      <c r="H27" s="10" t="s">
        <v>120</v>
      </c>
    </row>
    <row r="28" spans="1:8" ht="136.05000000000001" customHeight="1" x14ac:dyDescent="0.3">
      <c r="A28" s="10" t="s">
        <v>121</v>
      </c>
      <c r="B28" s="10" t="s">
        <v>122</v>
      </c>
      <c r="C28" s="10" t="s">
        <v>123</v>
      </c>
      <c r="D28" s="10" t="s">
        <v>124</v>
      </c>
      <c r="E28" s="11" t="s">
        <v>101</v>
      </c>
      <c r="F28" s="10" t="s">
        <v>9</v>
      </c>
      <c r="G28" s="10" t="s">
        <v>29</v>
      </c>
      <c r="H28" s="10" t="s">
        <v>125</v>
      </c>
    </row>
    <row r="29" spans="1:8" ht="123.05" customHeight="1" x14ac:dyDescent="0.3">
      <c r="A29" s="10" t="s">
        <v>126</v>
      </c>
      <c r="B29" s="10" t="s">
        <v>127</v>
      </c>
      <c r="C29" s="10" t="s">
        <v>128</v>
      </c>
      <c r="D29" s="10" t="s">
        <v>129</v>
      </c>
      <c r="E29" s="11" t="s">
        <v>56</v>
      </c>
      <c r="F29" s="10" t="s">
        <v>9</v>
      </c>
      <c r="G29" s="10" t="s">
        <v>29</v>
      </c>
      <c r="H29" s="10" t="s">
        <v>130</v>
      </c>
    </row>
    <row r="30" spans="1:8" ht="123.05" customHeight="1" x14ac:dyDescent="0.3">
      <c r="A30" s="10" t="s">
        <v>131</v>
      </c>
      <c r="B30" s="10" t="s">
        <v>132</v>
      </c>
      <c r="C30" s="10" t="s">
        <v>133</v>
      </c>
      <c r="D30" s="10" t="s">
        <v>134</v>
      </c>
      <c r="E30" s="11" t="s">
        <v>56</v>
      </c>
      <c r="F30" s="10" t="s">
        <v>9</v>
      </c>
      <c r="G30" s="10" t="s">
        <v>29</v>
      </c>
      <c r="H30" s="10" t="s">
        <v>135</v>
      </c>
    </row>
    <row r="31" spans="1:8" ht="97.05" customHeight="1" x14ac:dyDescent="0.3">
      <c r="A31" s="10" t="s">
        <v>136</v>
      </c>
      <c r="B31" s="10" t="s">
        <v>137</v>
      </c>
      <c r="C31" s="10" t="s">
        <v>138</v>
      </c>
      <c r="D31" s="10" t="s">
        <v>139</v>
      </c>
      <c r="E31" s="11" t="s">
        <v>51</v>
      </c>
      <c r="F31" s="10" t="s">
        <v>9</v>
      </c>
      <c r="G31" s="10" t="s">
        <v>29</v>
      </c>
      <c r="H31" s="10" t="s">
        <v>140</v>
      </c>
    </row>
    <row r="32" spans="1:8" ht="123.05" customHeight="1" x14ac:dyDescent="0.3">
      <c r="A32" s="10" t="s">
        <v>141</v>
      </c>
      <c r="B32" s="10" t="s">
        <v>142</v>
      </c>
      <c r="C32" s="10" t="s">
        <v>143</v>
      </c>
      <c r="D32" s="10" t="s">
        <v>144</v>
      </c>
      <c r="E32" s="11"/>
      <c r="F32" s="10" t="s">
        <v>9</v>
      </c>
      <c r="G32" s="10" t="s">
        <v>29</v>
      </c>
      <c r="H32" s="10" t="s">
        <v>145</v>
      </c>
    </row>
    <row r="33" spans="1:8" ht="110.05" customHeight="1" x14ac:dyDescent="0.3">
      <c r="A33" s="10" t="s">
        <v>146</v>
      </c>
      <c r="B33" s="10" t="s">
        <v>147</v>
      </c>
      <c r="C33" s="10" t="s">
        <v>148</v>
      </c>
      <c r="D33" s="10" t="s">
        <v>149</v>
      </c>
      <c r="E33" s="11" t="s">
        <v>25</v>
      </c>
      <c r="F33" s="10" t="s">
        <v>9</v>
      </c>
      <c r="G33" s="10" t="s">
        <v>29</v>
      </c>
      <c r="H33" s="10" t="s">
        <v>150</v>
      </c>
    </row>
    <row r="34" spans="1:8" ht="149.05000000000001" customHeight="1" x14ac:dyDescent="0.3">
      <c r="A34" s="10" t="s">
        <v>151</v>
      </c>
      <c r="B34" s="10" t="s">
        <v>152</v>
      </c>
      <c r="C34" s="10" t="s">
        <v>153</v>
      </c>
      <c r="D34" s="10" t="s">
        <v>154</v>
      </c>
      <c r="E34" s="11" t="s">
        <v>66</v>
      </c>
      <c r="F34" s="10" t="s">
        <v>9</v>
      </c>
      <c r="G34" s="10" t="s">
        <v>29</v>
      </c>
      <c r="H34" s="10" t="s">
        <v>155</v>
      </c>
    </row>
    <row r="35" spans="1:8" ht="110.05" customHeight="1" x14ac:dyDescent="0.3">
      <c r="A35" s="10" t="s">
        <v>156</v>
      </c>
      <c r="B35" s="10" t="s">
        <v>157</v>
      </c>
      <c r="C35" s="10" t="s">
        <v>158</v>
      </c>
      <c r="D35" s="10" t="s">
        <v>159</v>
      </c>
      <c r="E35" s="11" t="s">
        <v>51</v>
      </c>
      <c r="F35" s="10" t="s">
        <v>9</v>
      </c>
      <c r="G35" s="10" t="s">
        <v>29</v>
      </c>
      <c r="H35" s="10" t="s">
        <v>160</v>
      </c>
    </row>
    <row r="36" spans="1:8" ht="175" customHeight="1" x14ac:dyDescent="0.3">
      <c r="A36" s="10" t="s">
        <v>161</v>
      </c>
      <c r="B36" s="10" t="s">
        <v>162</v>
      </c>
      <c r="C36" s="10" t="s">
        <v>163</v>
      </c>
      <c r="D36" s="10" t="s">
        <v>164</v>
      </c>
      <c r="E36" s="11" t="s">
        <v>46</v>
      </c>
      <c r="F36" s="10" t="s">
        <v>9</v>
      </c>
      <c r="G36" s="10" t="s">
        <v>29</v>
      </c>
      <c r="H36" s="10" t="s">
        <v>165</v>
      </c>
    </row>
    <row r="37" spans="1:8" ht="123.05" customHeight="1" x14ac:dyDescent="0.3">
      <c r="A37" s="10" t="s">
        <v>166</v>
      </c>
      <c r="B37" s="10" t="s">
        <v>167</v>
      </c>
      <c r="C37" s="10" t="s">
        <v>168</v>
      </c>
      <c r="D37" s="10" t="s">
        <v>169</v>
      </c>
      <c r="E37" s="11" t="s">
        <v>56</v>
      </c>
      <c r="F37" s="10" t="s">
        <v>9</v>
      </c>
      <c r="G37" s="10" t="s">
        <v>29</v>
      </c>
      <c r="H37" s="10" t="s">
        <v>170</v>
      </c>
    </row>
    <row r="38" spans="1:8" ht="97.05" customHeight="1" x14ac:dyDescent="0.3">
      <c r="A38" s="10" t="s">
        <v>171</v>
      </c>
      <c r="B38" s="10" t="s">
        <v>172</v>
      </c>
      <c r="C38" s="10" t="s">
        <v>173</v>
      </c>
      <c r="D38" s="10" t="s">
        <v>174</v>
      </c>
      <c r="E38" s="11" t="s">
        <v>51</v>
      </c>
      <c r="F38" s="10" t="s">
        <v>9</v>
      </c>
      <c r="G38" s="10" t="s">
        <v>29</v>
      </c>
      <c r="H38" s="10" t="s">
        <v>175</v>
      </c>
    </row>
  </sheetData>
  <mergeCells count="5">
    <mergeCell ref="F6:H6"/>
    <mergeCell ref="F5:H5"/>
    <mergeCell ref="B4:H4"/>
    <mergeCell ref="B2:H2"/>
    <mergeCell ref="B3:H3"/>
  </mergeCells>
  <conditionalFormatting sqref="F9:F996">
    <cfRule type="cellIs" dxfId="11" priority="1" operator="equal">
      <formula>"Passed"</formula>
    </cfRule>
    <cfRule type="cellIs" dxfId="10" priority="2" operator="equal">
      <formula>"Failed"</formula>
    </cfRule>
    <cfRule type="cellIs" dxfId="9" priority="3" operator="equal">
      <formula>"Blocked"</formula>
    </cfRule>
    <cfRule type="cellIs" dxfId="8" priority="4" operator="equal">
      <formula>"Skipped"</formula>
    </cfRule>
  </conditionalFormatting>
  <dataValidations count="1">
    <dataValidation type="list" allowBlank="1" sqref="F9:F996" xr:uid="{00000000-0002-0000-0100-000000000000}">
      <formula1>$J$2:$J$6</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L38"/>
  <sheetViews>
    <sheetView workbookViewId="0">
      <pane ySplit="8" topLeftCell="A9" activePane="bottomLeft" state="frozen"/>
      <selection pane="bottomLeft"/>
    </sheetView>
  </sheetViews>
  <sheetFormatPr defaultRowHeight="15.05" x14ac:dyDescent="0.3"/>
  <cols>
    <col min="1" max="1" width="13" customWidth="1"/>
    <col min="2" max="2" width="34" customWidth="1"/>
    <col min="3" max="4" width="58" customWidth="1"/>
    <col min="5" max="5" width="16" customWidth="1"/>
    <col min="6" max="6" width="12" customWidth="1"/>
    <col min="7" max="7" width="11" customWidth="1"/>
    <col min="8" max="8" width="38" customWidth="1"/>
    <col min="9" max="9" width="3" customWidth="1"/>
    <col min="10" max="10" width="10" customWidth="1"/>
    <col min="11" max="11" width="3" customWidth="1"/>
    <col min="12" max="12" width="60" customWidth="1"/>
  </cols>
  <sheetData>
    <row r="2" spans="1:12" ht="25.05" customHeight="1" x14ac:dyDescent="0.3">
      <c r="A2" s="3" t="s">
        <v>0</v>
      </c>
      <c r="B2" s="16" t="s">
        <v>356</v>
      </c>
      <c r="C2" s="13"/>
      <c r="D2" s="13"/>
      <c r="E2" s="13"/>
      <c r="F2" s="13"/>
      <c r="G2" s="13"/>
      <c r="H2" s="14"/>
      <c r="J2" s="4"/>
      <c r="L2" s="5" t="s">
        <v>2</v>
      </c>
    </row>
    <row r="3" spans="1:12" ht="25.05" customHeight="1" x14ac:dyDescent="0.3">
      <c r="A3" s="3" t="s">
        <v>3</v>
      </c>
      <c r="B3" s="16" t="s">
        <v>357</v>
      </c>
      <c r="C3" s="13"/>
      <c r="D3" s="13"/>
      <c r="E3" s="13"/>
      <c r="F3" s="13"/>
      <c r="G3" s="13"/>
      <c r="H3" s="14"/>
      <c r="J3" s="4"/>
      <c r="L3" s="6" t="s">
        <v>358</v>
      </c>
    </row>
    <row r="4" spans="1:12" ht="25.05" customHeight="1" x14ac:dyDescent="0.3">
      <c r="A4" s="3" t="s">
        <v>6</v>
      </c>
      <c r="B4" s="16" t="s">
        <v>7</v>
      </c>
      <c r="C4" s="13"/>
      <c r="D4" s="13"/>
      <c r="E4" s="13"/>
      <c r="F4" s="13"/>
      <c r="G4" s="13"/>
      <c r="H4" s="14"/>
      <c r="J4" s="4"/>
      <c r="L4" s="6" t="s">
        <v>359</v>
      </c>
    </row>
    <row r="5" spans="1:12" ht="37.6" x14ac:dyDescent="0.3">
      <c r="A5" s="7" t="s">
        <v>9</v>
      </c>
      <c r="B5" s="7" t="s">
        <v>10</v>
      </c>
      <c r="C5" s="7" t="s">
        <v>11</v>
      </c>
      <c r="D5" s="7" t="s">
        <v>12</v>
      </c>
      <c r="E5" s="7" t="s">
        <v>13</v>
      </c>
      <c r="F5" s="15" t="s">
        <v>14</v>
      </c>
      <c r="G5" s="13"/>
      <c r="H5" s="14"/>
      <c r="J5" s="4"/>
      <c r="L5" s="6" t="s">
        <v>360</v>
      </c>
    </row>
    <row r="6" spans="1:12" ht="25.05" customHeight="1" x14ac:dyDescent="0.3">
      <c r="A6" s="8">
        <f>COUNTIF(F9:F996,"Passed")</f>
        <v>0</v>
      </c>
      <c r="B6" s="8">
        <f>COUNTIF(F9:F996,"Failed")</f>
        <v>0</v>
      </c>
      <c r="C6" s="8">
        <f>F6-E6-D6-B6-A6</f>
        <v>30</v>
      </c>
      <c r="D6" s="8">
        <f>COUNTIF(F$9:F$996,"Blocked")</f>
        <v>0</v>
      </c>
      <c r="E6" s="8">
        <f>COUNTIF(F$9:F$996,"Skipped")</f>
        <v>0</v>
      </c>
      <c r="F6" s="12">
        <f>COUNTA(A9:A996)</f>
        <v>30</v>
      </c>
      <c r="G6" s="13"/>
      <c r="H6" s="14"/>
      <c r="J6" s="4"/>
      <c r="L6" s="6" t="s">
        <v>361</v>
      </c>
    </row>
    <row r="8" spans="1:12" ht="25.05" customHeight="1" x14ac:dyDescent="0.3">
      <c r="A8" s="9" t="s">
        <v>17</v>
      </c>
      <c r="B8" s="9" t="s">
        <v>18</v>
      </c>
      <c r="C8" s="9" t="s">
        <v>19</v>
      </c>
      <c r="D8" s="9" t="s">
        <v>20</v>
      </c>
      <c r="E8" s="9" t="s">
        <v>21</v>
      </c>
      <c r="F8" s="9" t="s">
        <v>22</v>
      </c>
      <c r="G8" s="9" t="s">
        <v>23</v>
      </c>
      <c r="H8" s="9" t="s">
        <v>24</v>
      </c>
    </row>
    <row r="9" spans="1:12" ht="110.05" customHeight="1" x14ac:dyDescent="0.3">
      <c r="A9" s="10" t="s">
        <v>362</v>
      </c>
      <c r="B9" s="10" t="s">
        <v>224</v>
      </c>
      <c r="C9" s="10" t="s">
        <v>363</v>
      </c>
      <c r="D9" s="10" t="s">
        <v>364</v>
      </c>
      <c r="E9" s="11"/>
      <c r="F9" s="10"/>
      <c r="G9" s="10"/>
      <c r="H9" s="10" t="s">
        <v>365</v>
      </c>
    </row>
    <row r="10" spans="1:12" ht="149.05000000000001" customHeight="1" x14ac:dyDescent="0.3">
      <c r="A10" s="10" t="s">
        <v>366</v>
      </c>
      <c r="B10" s="10" t="s">
        <v>367</v>
      </c>
      <c r="C10" s="10" t="s">
        <v>368</v>
      </c>
      <c r="D10" s="10" t="s">
        <v>369</v>
      </c>
      <c r="E10" s="11" t="s">
        <v>362</v>
      </c>
      <c r="F10" s="10"/>
      <c r="G10" s="10"/>
      <c r="H10" s="10" t="s">
        <v>370</v>
      </c>
    </row>
    <row r="11" spans="1:12" ht="149.05000000000001" customHeight="1" x14ac:dyDescent="0.3">
      <c r="A11" s="10" t="s">
        <v>371</v>
      </c>
      <c r="B11" s="10" t="s">
        <v>372</v>
      </c>
      <c r="C11" s="10" t="s">
        <v>373</v>
      </c>
      <c r="D11" s="10" t="s">
        <v>374</v>
      </c>
      <c r="E11" s="11" t="s">
        <v>362</v>
      </c>
      <c r="F11" s="10"/>
      <c r="G11" s="10"/>
      <c r="H11" s="10"/>
    </row>
    <row r="12" spans="1:12" ht="214" customHeight="1" x14ac:dyDescent="0.3">
      <c r="A12" s="10" t="s">
        <v>375</v>
      </c>
      <c r="B12" s="10" t="s">
        <v>376</v>
      </c>
      <c r="C12" s="10" t="s">
        <v>377</v>
      </c>
      <c r="D12" s="10" t="s">
        <v>378</v>
      </c>
      <c r="E12" s="11" t="s">
        <v>362</v>
      </c>
      <c r="F12" s="10"/>
      <c r="G12" s="10"/>
      <c r="H12" s="10" t="s">
        <v>379</v>
      </c>
    </row>
    <row r="13" spans="1:12" ht="162" customHeight="1" x14ac:dyDescent="0.3">
      <c r="A13" s="10" t="s">
        <v>380</v>
      </c>
      <c r="B13" s="10" t="s">
        <v>381</v>
      </c>
      <c r="C13" s="10" t="s">
        <v>382</v>
      </c>
      <c r="D13" s="10" t="s">
        <v>383</v>
      </c>
      <c r="E13" s="11" t="s">
        <v>362</v>
      </c>
      <c r="F13" s="10"/>
      <c r="G13" s="10"/>
      <c r="H13" s="10" t="s">
        <v>384</v>
      </c>
    </row>
    <row r="14" spans="1:12" ht="162" customHeight="1" x14ac:dyDescent="0.3">
      <c r="A14" s="10" t="s">
        <v>385</v>
      </c>
      <c r="B14" s="10" t="s">
        <v>386</v>
      </c>
      <c r="C14" s="10" t="s">
        <v>387</v>
      </c>
      <c r="D14" s="10" t="s">
        <v>388</v>
      </c>
      <c r="E14" s="11" t="s">
        <v>362</v>
      </c>
      <c r="F14" s="10"/>
      <c r="G14" s="10"/>
      <c r="H14" s="10"/>
    </row>
    <row r="15" spans="1:12" ht="149.05000000000001" customHeight="1" x14ac:dyDescent="0.3">
      <c r="A15" s="10" t="s">
        <v>389</v>
      </c>
      <c r="B15" s="10" t="s">
        <v>236</v>
      </c>
      <c r="C15" s="10" t="s">
        <v>390</v>
      </c>
      <c r="D15" s="10" t="s">
        <v>391</v>
      </c>
      <c r="E15" s="11" t="s">
        <v>362</v>
      </c>
      <c r="F15" s="10"/>
      <c r="G15" s="10"/>
      <c r="H15" s="10" t="s">
        <v>392</v>
      </c>
    </row>
    <row r="16" spans="1:12" ht="188" customHeight="1" x14ac:dyDescent="0.3">
      <c r="A16" s="10" t="s">
        <v>393</v>
      </c>
      <c r="B16" s="10" t="s">
        <v>238</v>
      </c>
      <c r="C16" s="10" t="s">
        <v>394</v>
      </c>
      <c r="D16" s="10" t="s">
        <v>395</v>
      </c>
      <c r="E16" s="11" t="s">
        <v>362</v>
      </c>
      <c r="F16" s="10"/>
      <c r="G16" s="10"/>
      <c r="H16" s="10"/>
    </row>
    <row r="17" spans="1:8" ht="162" customHeight="1" x14ac:dyDescent="0.3">
      <c r="A17" s="10" t="s">
        <v>396</v>
      </c>
      <c r="B17" s="10" t="s">
        <v>397</v>
      </c>
      <c r="C17" s="10" t="s">
        <v>398</v>
      </c>
      <c r="D17" s="10" t="s">
        <v>399</v>
      </c>
      <c r="E17" s="11" t="s">
        <v>362</v>
      </c>
      <c r="F17" s="10"/>
      <c r="G17" s="10"/>
      <c r="H17" s="10" t="s">
        <v>400</v>
      </c>
    </row>
    <row r="18" spans="1:8" ht="175" customHeight="1" x14ac:dyDescent="0.3">
      <c r="A18" s="10" t="s">
        <v>401</v>
      </c>
      <c r="B18" s="10" t="s">
        <v>402</v>
      </c>
      <c r="C18" s="10" t="s">
        <v>403</v>
      </c>
      <c r="D18" s="10" t="s">
        <v>404</v>
      </c>
      <c r="E18" s="11" t="s">
        <v>362</v>
      </c>
      <c r="F18" s="10"/>
      <c r="G18" s="10"/>
      <c r="H18" s="10" t="s">
        <v>405</v>
      </c>
    </row>
    <row r="19" spans="1:8" ht="123.05" customHeight="1" x14ac:dyDescent="0.3">
      <c r="A19" s="10" t="s">
        <v>406</v>
      </c>
      <c r="B19" s="10" t="s">
        <v>245</v>
      </c>
      <c r="C19" s="10" t="s">
        <v>407</v>
      </c>
      <c r="D19" s="10" t="s">
        <v>408</v>
      </c>
      <c r="E19" s="11"/>
      <c r="F19" s="10"/>
      <c r="G19" s="10"/>
      <c r="H19" s="10" t="s">
        <v>409</v>
      </c>
    </row>
    <row r="20" spans="1:8" ht="162" customHeight="1" x14ac:dyDescent="0.3">
      <c r="A20" s="10" t="s">
        <v>410</v>
      </c>
      <c r="B20" s="10" t="s">
        <v>247</v>
      </c>
      <c r="C20" s="10" t="s">
        <v>411</v>
      </c>
      <c r="D20" s="10" t="s">
        <v>412</v>
      </c>
      <c r="E20" s="11"/>
      <c r="F20" s="10"/>
      <c r="G20" s="10"/>
      <c r="H20" s="10" t="s">
        <v>413</v>
      </c>
    </row>
    <row r="21" spans="1:8" ht="149.05000000000001" customHeight="1" x14ac:dyDescent="0.3">
      <c r="A21" s="10" t="s">
        <v>414</v>
      </c>
      <c r="B21" s="10" t="s">
        <v>250</v>
      </c>
      <c r="C21" s="10" t="s">
        <v>415</v>
      </c>
      <c r="D21" s="10" t="s">
        <v>416</v>
      </c>
      <c r="E21" s="11"/>
      <c r="F21" s="10"/>
      <c r="G21" s="10"/>
      <c r="H21" s="10" t="s">
        <v>417</v>
      </c>
    </row>
    <row r="22" spans="1:8" ht="136.05000000000001" customHeight="1" x14ac:dyDescent="0.3">
      <c r="A22" s="10" t="s">
        <v>418</v>
      </c>
      <c r="B22" s="10" t="s">
        <v>252</v>
      </c>
      <c r="C22" s="10" t="s">
        <v>419</v>
      </c>
      <c r="D22" s="10" t="s">
        <v>420</v>
      </c>
      <c r="E22" s="11"/>
      <c r="F22" s="10"/>
      <c r="G22" s="10"/>
      <c r="H22" s="10" t="s">
        <v>421</v>
      </c>
    </row>
    <row r="23" spans="1:8" ht="136.05000000000001" customHeight="1" x14ac:dyDescent="0.3">
      <c r="A23" s="10" t="s">
        <v>422</v>
      </c>
      <c r="B23" s="10" t="s">
        <v>254</v>
      </c>
      <c r="C23" s="10" t="s">
        <v>423</v>
      </c>
      <c r="D23" s="10" t="s">
        <v>424</v>
      </c>
      <c r="E23" s="11" t="s">
        <v>418</v>
      </c>
      <c r="F23" s="10"/>
      <c r="G23" s="10"/>
      <c r="H23" s="10"/>
    </row>
    <row r="24" spans="1:8" ht="123.05" customHeight="1" x14ac:dyDescent="0.3">
      <c r="A24" s="10" t="s">
        <v>425</v>
      </c>
      <c r="B24" s="10" t="s">
        <v>256</v>
      </c>
      <c r="C24" s="10" t="s">
        <v>426</v>
      </c>
      <c r="D24" s="10" t="s">
        <v>427</v>
      </c>
      <c r="E24" s="11" t="s">
        <v>418</v>
      </c>
      <c r="F24" s="10"/>
      <c r="G24" s="10"/>
      <c r="H24" s="10" t="s">
        <v>428</v>
      </c>
    </row>
    <row r="25" spans="1:8" ht="123.05" customHeight="1" x14ac:dyDescent="0.3">
      <c r="A25" s="10" t="s">
        <v>429</v>
      </c>
      <c r="B25" s="10" t="s">
        <v>258</v>
      </c>
      <c r="C25" s="10" t="s">
        <v>430</v>
      </c>
      <c r="D25" s="10" t="s">
        <v>431</v>
      </c>
      <c r="E25" s="11" t="s">
        <v>418</v>
      </c>
      <c r="F25" s="10"/>
      <c r="G25" s="10"/>
      <c r="H25" s="10" t="s">
        <v>432</v>
      </c>
    </row>
    <row r="26" spans="1:8" ht="149.05000000000001" customHeight="1" x14ac:dyDescent="0.3">
      <c r="A26" s="10" t="s">
        <v>433</v>
      </c>
      <c r="B26" s="10" t="s">
        <v>434</v>
      </c>
      <c r="C26" s="10" t="s">
        <v>435</v>
      </c>
      <c r="D26" s="10" t="s">
        <v>436</v>
      </c>
      <c r="E26" s="11" t="s">
        <v>418</v>
      </c>
      <c r="F26" s="10"/>
      <c r="G26" s="10"/>
      <c r="H26" s="10" t="s">
        <v>437</v>
      </c>
    </row>
    <row r="27" spans="1:8" ht="149.05000000000001" customHeight="1" x14ac:dyDescent="0.3">
      <c r="A27" s="10" t="s">
        <v>438</v>
      </c>
      <c r="B27" s="10" t="s">
        <v>262</v>
      </c>
      <c r="C27" s="10" t="s">
        <v>439</v>
      </c>
      <c r="D27" s="10" t="s">
        <v>440</v>
      </c>
      <c r="E27" s="11" t="s">
        <v>418</v>
      </c>
      <c r="F27" s="10"/>
      <c r="G27" s="10"/>
      <c r="H27" s="10"/>
    </row>
    <row r="28" spans="1:8" ht="149.05000000000001" customHeight="1" x14ac:dyDescent="0.3">
      <c r="A28" s="10" t="s">
        <v>441</v>
      </c>
      <c r="B28" s="10" t="s">
        <v>265</v>
      </c>
      <c r="C28" s="10" t="s">
        <v>442</v>
      </c>
      <c r="D28" s="10" t="s">
        <v>443</v>
      </c>
      <c r="E28" s="11" t="s">
        <v>171</v>
      </c>
      <c r="F28" s="10"/>
      <c r="G28" s="10"/>
      <c r="H28" s="10"/>
    </row>
    <row r="29" spans="1:8" ht="123.05" customHeight="1" x14ac:dyDescent="0.3">
      <c r="A29" s="10" t="s">
        <v>444</v>
      </c>
      <c r="B29" s="10" t="s">
        <v>267</v>
      </c>
      <c r="C29" s="10" t="s">
        <v>445</v>
      </c>
      <c r="D29" s="10" t="s">
        <v>446</v>
      </c>
      <c r="E29" s="11" t="s">
        <v>171</v>
      </c>
      <c r="F29" s="10"/>
      <c r="G29" s="10"/>
      <c r="H29" s="10" t="s">
        <v>447</v>
      </c>
    </row>
    <row r="30" spans="1:8" ht="162" customHeight="1" x14ac:dyDescent="0.3">
      <c r="A30" s="10" t="s">
        <v>448</v>
      </c>
      <c r="B30" s="10" t="s">
        <v>269</v>
      </c>
      <c r="C30" s="10" t="s">
        <v>449</v>
      </c>
      <c r="D30" s="10" t="s">
        <v>450</v>
      </c>
      <c r="E30" s="11"/>
      <c r="F30" s="10"/>
      <c r="G30" s="10"/>
      <c r="H30" s="10" t="s">
        <v>451</v>
      </c>
    </row>
    <row r="31" spans="1:8" ht="123.05" customHeight="1" x14ac:dyDescent="0.3">
      <c r="A31" s="10" t="s">
        <v>452</v>
      </c>
      <c r="B31" s="10" t="s">
        <v>453</v>
      </c>
      <c r="C31" s="10" t="s">
        <v>454</v>
      </c>
      <c r="D31" s="10" t="s">
        <v>455</v>
      </c>
      <c r="E31" s="11"/>
      <c r="F31" s="10"/>
      <c r="G31" s="10"/>
      <c r="H31" s="10" t="s">
        <v>456</v>
      </c>
    </row>
    <row r="32" spans="1:8" ht="188" customHeight="1" x14ac:dyDescent="0.3">
      <c r="A32" s="10" t="s">
        <v>457</v>
      </c>
      <c r="B32" s="10" t="s">
        <v>274</v>
      </c>
      <c r="C32" s="10" t="s">
        <v>458</v>
      </c>
      <c r="D32" s="10" t="s">
        <v>459</v>
      </c>
      <c r="E32" s="11"/>
      <c r="F32" s="10"/>
      <c r="G32" s="10"/>
      <c r="H32" s="10" t="s">
        <v>460</v>
      </c>
    </row>
    <row r="33" spans="1:8" ht="136.05000000000001" customHeight="1" x14ac:dyDescent="0.3">
      <c r="A33" s="10" t="s">
        <v>461</v>
      </c>
      <c r="B33" s="10" t="s">
        <v>462</v>
      </c>
      <c r="C33" s="10" t="s">
        <v>463</v>
      </c>
      <c r="D33" s="10" t="s">
        <v>464</v>
      </c>
      <c r="E33" s="11" t="s">
        <v>457</v>
      </c>
      <c r="F33" s="10"/>
      <c r="G33" s="10"/>
      <c r="H33" s="10" t="s">
        <v>465</v>
      </c>
    </row>
    <row r="34" spans="1:8" ht="136.05000000000001" customHeight="1" x14ac:dyDescent="0.3">
      <c r="A34" s="10" t="s">
        <v>466</v>
      </c>
      <c r="B34" s="10" t="s">
        <v>467</v>
      </c>
      <c r="C34" s="10" t="s">
        <v>468</v>
      </c>
      <c r="D34" s="10" t="s">
        <v>469</v>
      </c>
      <c r="E34" s="11" t="s">
        <v>457</v>
      </c>
      <c r="F34" s="10"/>
      <c r="G34" s="10"/>
      <c r="H34" s="10" t="s">
        <v>470</v>
      </c>
    </row>
    <row r="35" spans="1:8" ht="162" customHeight="1" x14ac:dyDescent="0.3">
      <c r="A35" s="10" t="s">
        <v>471</v>
      </c>
      <c r="B35" s="10" t="s">
        <v>280</v>
      </c>
      <c r="C35" s="10" t="s">
        <v>472</v>
      </c>
      <c r="D35" s="10" t="s">
        <v>473</v>
      </c>
      <c r="E35" s="11" t="s">
        <v>457</v>
      </c>
      <c r="F35" s="10"/>
      <c r="G35" s="10"/>
      <c r="H35" s="10" t="s">
        <v>474</v>
      </c>
    </row>
    <row r="36" spans="1:8" ht="136.05000000000001" customHeight="1" x14ac:dyDescent="0.3">
      <c r="A36" s="10" t="s">
        <v>475</v>
      </c>
      <c r="B36" s="10" t="s">
        <v>282</v>
      </c>
      <c r="C36" s="10" t="s">
        <v>476</v>
      </c>
      <c r="D36" s="10" t="s">
        <v>477</v>
      </c>
      <c r="E36" s="11" t="s">
        <v>466</v>
      </c>
      <c r="F36" s="10"/>
      <c r="G36" s="10"/>
      <c r="H36" s="10" t="s">
        <v>478</v>
      </c>
    </row>
    <row r="37" spans="1:8" ht="175" customHeight="1" x14ac:dyDescent="0.3">
      <c r="A37" s="10" t="s">
        <v>479</v>
      </c>
      <c r="B37" s="10" t="s">
        <v>480</v>
      </c>
      <c r="C37" s="10" t="s">
        <v>481</v>
      </c>
      <c r="D37" s="10" t="s">
        <v>482</v>
      </c>
      <c r="E37" s="11" t="s">
        <v>151</v>
      </c>
      <c r="F37" s="10"/>
      <c r="G37" s="10"/>
      <c r="H37" s="10" t="s">
        <v>465</v>
      </c>
    </row>
    <row r="38" spans="1:8" ht="175" customHeight="1" x14ac:dyDescent="0.3">
      <c r="A38" s="10" t="s">
        <v>483</v>
      </c>
      <c r="B38" s="10" t="s">
        <v>484</v>
      </c>
      <c r="C38" s="10" t="s">
        <v>485</v>
      </c>
      <c r="D38" s="10" t="s">
        <v>486</v>
      </c>
      <c r="E38" s="11"/>
      <c r="F38" s="10"/>
      <c r="G38" s="10"/>
      <c r="H38" s="10"/>
    </row>
  </sheetData>
  <mergeCells count="5">
    <mergeCell ref="F6:H6"/>
    <mergeCell ref="F5:H5"/>
    <mergeCell ref="B4:H4"/>
    <mergeCell ref="B2:H2"/>
    <mergeCell ref="B3:H3"/>
  </mergeCells>
  <conditionalFormatting sqref="F9:F996">
    <cfRule type="cellIs" dxfId="7" priority="1" operator="equal">
      <formula>"Passed"</formula>
    </cfRule>
    <cfRule type="cellIs" dxfId="6" priority="2" operator="equal">
      <formula>"Failed"</formula>
    </cfRule>
    <cfRule type="cellIs" dxfId="5" priority="3" operator="equal">
      <formula>"Blocked"</formula>
    </cfRule>
    <cfRule type="cellIs" dxfId="4" priority="4" operator="equal">
      <formula>"Skipped"</formula>
    </cfRule>
  </conditionalFormatting>
  <dataValidations count="1">
    <dataValidation type="list" allowBlank="1" sqref="F9:F996" xr:uid="{00000000-0002-0000-0200-000000000000}">
      <formula1>$J$2:$J$6</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L38"/>
  <sheetViews>
    <sheetView workbookViewId="0">
      <pane ySplit="8" topLeftCell="A9" activePane="bottomLeft" state="frozen"/>
      <selection pane="bottomLeft"/>
    </sheetView>
  </sheetViews>
  <sheetFormatPr defaultRowHeight="15.05" x14ac:dyDescent="0.3"/>
  <cols>
    <col min="1" max="1" width="13" customWidth="1"/>
    <col min="2" max="2" width="34" customWidth="1"/>
    <col min="3" max="4" width="58" customWidth="1"/>
    <col min="5" max="5" width="16" customWidth="1"/>
    <col min="6" max="6" width="12" customWidth="1"/>
    <col min="7" max="7" width="11" customWidth="1"/>
    <col min="8" max="8" width="38" customWidth="1"/>
    <col min="9" max="9" width="3" customWidth="1"/>
    <col min="10" max="10" width="10" customWidth="1"/>
    <col min="11" max="11" width="3" customWidth="1"/>
    <col min="12" max="12" width="60" customWidth="1"/>
  </cols>
  <sheetData>
    <row r="2" spans="1:12" ht="25.05" customHeight="1" x14ac:dyDescent="0.3">
      <c r="A2" s="3" t="s">
        <v>0</v>
      </c>
      <c r="B2" s="16" t="s">
        <v>487</v>
      </c>
      <c r="C2" s="13"/>
      <c r="D2" s="13"/>
      <c r="E2" s="13"/>
      <c r="F2" s="13"/>
      <c r="G2" s="13"/>
      <c r="H2" s="14"/>
      <c r="J2" s="4"/>
      <c r="L2" s="5" t="s">
        <v>2</v>
      </c>
    </row>
    <row r="3" spans="1:12" ht="25.05" customHeight="1" x14ac:dyDescent="0.3">
      <c r="A3" s="3" t="s">
        <v>3</v>
      </c>
      <c r="B3" s="16" t="s">
        <v>488</v>
      </c>
      <c r="C3" s="13"/>
      <c r="D3" s="13"/>
      <c r="E3" s="13"/>
      <c r="F3" s="13"/>
      <c r="G3" s="13"/>
      <c r="H3" s="14"/>
      <c r="J3" s="4"/>
      <c r="L3" s="6" t="s">
        <v>489</v>
      </c>
    </row>
    <row r="4" spans="1:12" ht="25.05" customHeight="1" x14ac:dyDescent="0.3">
      <c r="A4" s="3" t="s">
        <v>6</v>
      </c>
      <c r="B4" s="16" t="s">
        <v>7</v>
      </c>
      <c r="C4" s="13"/>
      <c r="D4" s="13"/>
      <c r="E4" s="13"/>
      <c r="F4" s="13"/>
      <c r="G4" s="13"/>
      <c r="H4" s="14"/>
      <c r="J4" s="4"/>
      <c r="L4" s="6" t="s">
        <v>490</v>
      </c>
    </row>
    <row r="5" spans="1:12" ht="37.6" x14ac:dyDescent="0.3">
      <c r="A5" s="7" t="s">
        <v>9</v>
      </c>
      <c r="B5" s="7" t="s">
        <v>10</v>
      </c>
      <c r="C5" s="7" t="s">
        <v>11</v>
      </c>
      <c r="D5" s="7" t="s">
        <v>12</v>
      </c>
      <c r="E5" s="7" t="s">
        <v>13</v>
      </c>
      <c r="F5" s="15" t="s">
        <v>14</v>
      </c>
      <c r="G5" s="13"/>
      <c r="H5" s="14"/>
      <c r="J5" s="4"/>
      <c r="L5" s="6" t="s">
        <v>491</v>
      </c>
    </row>
    <row r="6" spans="1:12" ht="25.05" customHeight="1" x14ac:dyDescent="0.3">
      <c r="A6" s="8">
        <f>COUNTIF(F9:F996,"Passed")</f>
        <v>0</v>
      </c>
      <c r="B6" s="8">
        <f>COUNTIF(F9:F996,"Failed")</f>
        <v>0</v>
      </c>
      <c r="C6" s="8">
        <f>F6-E6-D6-B6-A6</f>
        <v>30</v>
      </c>
      <c r="D6" s="8">
        <f>COUNTIF(F$9:F$996,"Blocked")</f>
        <v>0</v>
      </c>
      <c r="E6" s="8">
        <f>COUNTIF(F$9:F$996,"Skipped")</f>
        <v>0</v>
      </c>
      <c r="F6" s="12">
        <f>COUNTA(A9:A996)</f>
        <v>30</v>
      </c>
      <c r="G6" s="13"/>
      <c r="H6" s="14"/>
      <c r="J6" s="4"/>
      <c r="L6" s="6" t="s">
        <v>492</v>
      </c>
    </row>
    <row r="8" spans="1:12" ht="25.05" customHeight="1" x14ac:dyDescent="0.3">
      <c r="A8" s="9" t="s">
        <v>17</v>
      </c>
      <c r="B8" s="9" t="s">
        <v>18</v>
      </c>
      <c r="C8" s="9" t="s">
        <v>19</v>
      </c>
      <c r="D8" s="9" t="s">
        <v>20</v>
      </c>
      <c r="E8" s="9" t="s">
        <v>21</v>
      </c>
      <c r="F8" s="9" t="s">
        <v>22</v>
      </c>
      <c r="G8" s="9" t="s">
        <v>23</v>
      </c>
      <c r="H8" s="9" t="s">
        <v>24</v>
      </c>
    </row>
    <row r="9" spans="1:12" ht="110.05" customHeight="1" x14ac:dyDescent="0.3">
      <c r="A9" s="10" t="s">
        <v>493</v>
      </c>
      <c r="B9" s="10" t="s">
        <v>292</v>
      </c>
      <c r="C9" s="10" t="s">
        <v>494</v>
      </c>
      <c r="D9" s="10" t="s">
        <v>495</v>
      </c>
      <c r="E9" s="11"/>
      <c r="F9" s="10"/>
      <c r="G9" s="10"/>
      <c r="H9" s="10"/>
    </row>
    <row r="10" spans="1:12" ht="110.05" customHeight="1" x14ac:dyDescent="0.3">
      <c r="A10" s="10" t="s">
        <v>496</v>
      </c>
      <c r="B10" s="10" t="s">
        <v>497</v>
      </c>
      <c r="C10" s="10" t="s">
        <v>498</v>
      </c>
      <c r="D10" s="10" t="s">
        <v>499</v>
      </c>
      <c r="E10" s="11" t="s">
        <v>493</v>
      </c>
      <c r="F10" s="10"/>
      <c r="G10" s="10"/>
      <c r="H10" s="10"/>
    </row>
    <row r="11" spans="1:12" ht="110.05" customHeight="1" x14ac:dyDescent="0.3">
      <c r="A11" s="10" t="s">
        <v>500</v>
      </c>
      <c r="B11" s="10" t="s">
        <v>296</v>
      </c>
      <c r="C11" s="10" t="s">
        <v>501</v>
      </c>
      <c r="D11" s="10" t="s">
        <v>502</v>
      </c>
      <c r="E11" s="11" t="s">
        <v>496</v>
      </c>
      <c r="F11" s="10"/>
      <c r="G11" s="10"/>
      <c r="H11" s="10" t="s">
        <v>503</v>
      </c>
    </row>
    <row r="12" spans="1:12" ht="123.05" customHeight="1" x14ac:dyDescent="0.3">
      <c r="A12" s="10" t="s">
        <v>504</v>
      </c>
      <c r="B12" s="10" t="s">
        <v>298</v>
      </c>
      <c r="C12" s="10" t="s">
        <v>505</v>
      </c>
      <c r="D12" s="10" t="s">
        <v>506</v>
      </c>
      <c r="E12" s="11" t="s">
        <v>496</v>
      </c>
      <c r="F12" s="10"/>
      <c r="G12" s="10"/>
      <c r="H12" s="10"/>
    </row>
    <row r="13" spans="1:12" ht="123.05" customHeight="1" x14ac:dyDescent="0.3">
      <c r="A13" s="10" t="s">
        <v>507</v>
      </c>
      <c r="B13" s="10" t="s">
        <v>508</v>
      </c>
      <c r="C13" s="10" t="s">
        <v>509</v>
      </c>
      <c r="D13" s="10" t="s">
        <v>510</v>
      </c>
      <c r="E13" s="11"/>
      <c r="F13" s="10"/>
      <c r="G13" s="10"/>
      <c r="H13" s="10" t="s">
        <v>511</v>
      </c>
    </row>
    <row r="14" spans="1:12" ht="123.05" customHeight="1" x14ac:dyDescent="0.3">
      <c r="A14" s="10" t="s">
        <v>512</v>
      </c>
      <c r="B14" s="10" t="s">
        <v>302</v>
      </c>
      <c r="C14" s="10" t="s">
        <v>513</v>
      </c>
      <c r="D14" s="10" t="s">
        <v>514</v>
      </c>
      <c r="E14" s="11"/>
      <c r="F14" s="10"/>
      <c r="G14" s="10"/>
      <c r="H14" s="10" t="s">
        <v>515</v>
      </c>
    </row>
    <row r="15" spans="1:12" ht="136.05000000000001" customHeight="1" x14ac:dyDescent="0.3">
      <c r="A15" s="10" t="s">
        <v>516</v>
      </c>
      <c r="B15" s="10" t="s">
        <v>305</v>
      </c>
      <c r="C15" s="10" t="s">
        <v>517</v>
      </c>
      <c r="D15" s="10" t="s">
        <v>518</v>
      </c>
      <c r="E15" s="11" t="s">
        <v>496</v>
      </c>
      <c r="F15" s="10"/>
      <c r="G15" s="10"/>
      <c r="H15" s="10"/>
    </row>
    <row r="16" spans="1:12" ht="110.05" customHeight="1" x14ac:dyDescent="0.3">
      <c r="A16" s="10" t="s">
        <v>519</v>
      </c>
      <c r="B16" s="10" t="s">
        <v>307</v>
      </c>
      <c r="C16" s="10" t="s">
        <v>520</v>
      </c>
      <c r="D16" s="10" t="s">
        <v>521</v>
      </c>
      <c r="E16" s="11" t="s">
        <v>516</v>
      </c>
      <c r="F16" s="10"/>
      <c r="G16" s="10"/>
      <c r="H16" s="10"/>
    </row>
    <row r="17" spans="1:8" ht="149.05000000000001" customHeight="1" x14ac:dyDescent="0.3">
      <c r="A17" s="10" t="s">
        <v>522</v>
      </c>
      <c r="B17" s="10" t="s">
        <v>309</v>
      </c>
      <c r="C17" s="10" t="s">
        <v>523</v>
      </c>
      <c r="D17" s="10" t="s">
        <v>524</v>
      </c>
      <c r="E17" s="11" t="s">
        <v>519</v>
      </c>
      <c r="F17" s="10"/>
      <c r="G17" s="10"/>
      <c r="H17" s="10" t="s">
        <v>525</v>
      </c>
    </row>
    <row r="18" spans="1:8" ht="149.05000000000001" customHeight="1" x14ac:dyDescent="0.3">
      <c r="A18" s="10" t="s">
        <v>526</v>
      </c>
      <c r="B18" s="10" t="s">
        <v>311</v>
      </c>
      <c r="C18" s="10" t="s">
        <v>527</v>
      </c>
      <c r="D18" s="10" t="s">
        <v>528</v>
      </c>
      <c r="E18" s="11" t="s">
        <v>516</v>
      </c>
      <c r="F18" s="10"/>
      <c r="G18" s="10"/>
      <c r="H18" s="10" t="s">
        <v>529</v>
      </c>
    </row>
    <row r="19" spans="1:8" ht="188" customHeight="1" x14ac:dyDescent="0.3">
      <c r="A19" s="10" t="s">
        <v>530</v>
      </c>
      <c r="B19" s="10" t="s">
        <v>313</v>
      </c>
      <c r="C19" s="10" t="s">
        <v>531</v>
      </c>
      <c r="D19" s="10" t="s">
        <v>532</v>
      </c>
      <c r="E19" s="11" t="s">
        <v>516</v>
      </c>
      <c r="F19" s="10"/>
      <c r="G19" s="10"/>
      <c r="H19" s="10" t="s">
        <v>533</v>
      </c>
    </row>
    <row r="20" spans="1:8" ht="136.05000000000001" customHeight="1" x14ac:dyDescent="0.3">
      <c r="A20" s="10" t="s">
        <v>534</v>
      </c>
      <c r="B20" s="10" t="s">
        <v>315</v>
      </c>
      <c r="C20" s="10" t="s">
        <v>535</v>
      </c>
      <c r="D20" s="10" t="s">
        <v>536</v>
      </c>
      <c r="E20" s="11" t="s">
        <v>516</v>
      </c>
      <c r="F20" s="10"/>
      <c r="G20" s="10"/>
      <c r="H20" s="10"/>
    </row>
    <row r="21" spans="1:8" ht="123.05" customHeight="1" x14ac:dyDescent="0.3">
      <c r="A21" s="10" t="s">
        <v>537</v>
      </c>
      <c r="B21" s="10" t="s">
        <v>317</v>
      </c>
      <c r="C21" s="10" t="s">
        <v>538</v>
      </c>
      <c r="D21" s="10" t="s">
        <v>539</v>
      </c>
      <c r="E21" s="11" t="s">
        <v>526</v>
      </c>
      <c r="F21" s="10"/>
      <c r="G21" s="10"/>
      <c r="H21" s="10" t="s">
        <v>540</v>
      </c>
    </row>
    <row r="22" spans="1:8" ht="123.05" customHeight="1" x14ac:dyDescent="0.3">
      <c r="A22" s="10" t="s">
        <v>541</v>
      </c>
      <c r="B22" s="10" t="s">
        <v>320</v>
      </c>
      <c r="C22" s="10" t="s">
        <v>542</v>
      </c>
      <c r="D22" s="10" t="s">
        <v>543</v>
      </c>
      <c r="E22" s="11" t="s">
        <v>496</v>
      </c>
      <c r="F22" s="10"/>
      <c r="G22" s="10"/>
      <c r="H22" s="10"/>
    </row>
    <row r="23" spans="1:8" ht="162" customHeight="1" x14ac:dyDescent="0.3">
      <c r="A23" s="10" t="s">
        <v>544</v>
      </c>
      <c r="B23" s="10" t="s">
        <v>322</v>
      </c>
      <c r="C23" s="10" t="s">
        <v>545</v>
      </c>
      <c r="D23" s="10" t="s">
        <v>546</v>
      </c>
      <c r="E23" s="11" t="s">
        <v>541</v>
      </c>
      <c r="F23" s="10"/>
      <c r="G23" s="10"/>
      <c r="H23" s="10" t="s">
        <v>547</v>
      </c>
    </row>
    <row r="24" spans="1:8" ht="188" customHeight="1" x14ac:dyDescent="0.3">
      <c r="A24" s="10" t="s">
        <v>548</v>
      </c>
      <c r="B24" s="10" t="s">
        <v>324</v>
      </c>
      <c r="C24" s="10" t="s">
        <v>549</v>
      </c>
      <c r="D24" s="10" t="s">
        <v>550</v>
      </c>
      <c r="E24" s="11" t="s">
        <v>544</v>
      </c>
      <c r="F24" s="10"/>
      <c r="G24" s="10"/>
      <c r="H24" s="10"/>
    </row>
    <row r="25" spans="1:8" ht="265.95" customHeight="1" x14ac:dyDescent="0.3">
      <c r="A25" s="10" t="s">
        <v>551</v>
      </c>
      <c r="B25" s="10" t="s">
        <v>326</v>
      </c>
      <c r="C25" s="10" t="s">
        <v>552</v>
      </c>
      <c r="D25" s="10" t="s">
        <v>553</v>
      </c>
      <c r="E25" s="11" t="s">
        <v>544</v>
      </c>
      <c r="F25" s="10"/>
      <c r="G25" s="10"/>
      <c r="H25" s="10" t="s">
        <v>554</v>
      </c>
    </row>
    <row r="26" spans="1:8" ht="239.95" customHeight="1" x14ac:dyDescent="0.3">
      <c r="A26" s="10" t="s">
        <v>555</v>
      </c>
      <c r="B26" s="10" t="s">
        <v>556</v>
      </c>
      <c r="C26" s="10" t="s">
        <v>557</v>
      </c>
      <c r="D26" s="10" t="s">
        <v>558</v>
      </c>
      <c r="E26" s="11" t="s">
        <v>551</v>
      </c>
      <c r="F26" s="10"/>
      <c r="G26" s="10"/>
      <c r="H26" s="10" t="s">
        <v>533</v>
      </c>
    </row>
    <row r="27" spans="1:8" ht="201" customHeight="1" x14ac:dyDescent="0.3">
      <c r="A27" s="10" t="s">
        <v>559</v>
      </c>
      <c r="B27" s="10" t="s">
        <v>560</v>
      </c>
      <c r="C27" s="10" t="s">
        <v>561</v>
      </c>
      <c r="D27" s="10" t="s">
        <v>562</v>
      </c>
      <c r="E27" s="11" t="s">
        <v>551</v>
      </c>
      <c r="F27" s="10"/>
      <c r="G27" s="10"/>
      <c r="H27" s="10" t="s">
        <v>563</v>
      </c>
    </row>
    <row r="28" spans="1:8" ht="201" customHeight="1" x14ac:dyDescent="0.3">
      <c r="A28" s="10" t="s">
        <v>564</v>
      </c>
      <c r="B28" s="10" t="s">
        <v>565</v>
      </c>
      <c r="C28" s="10" t="s">
        <v>566</v>
      </c>
      <c r="D28" s="10" t="s">
        <v>567</v>
      </c>
      <c r="E28" s="11" t="s">
        <v>551</v>
      </c>
      <c r="F28" s="10"/>
      <c r="G28" s="10"/>
      <c r="H28" s="10" t="s">
        <v>568</v>
      </c>
    </row>
    <row r="29" spans="1:8" ht="175" customHeight="1" x14ac:dyDescent="0.3">
      <c r="A29" s="10" t="s">
        <v>569</v>
      </c>
      <c r="B29" s="10" t="s">
        <v>570</v>
      </c>
      <c r="C29" s="10" t="s">
        <v>571</v>
      </c>
      <c r="D29" s="10" t="s">
        <v>572</v>
      </c>
      <c r="E29" s="11" t="s">
        <v>551</v>
      </c>
      <c r="F29" s="10"/>
      <c r="G29" s="10"/>
      <c r="H29" s="10" t="s">
        <v>573</v>
      </c>
    </row>
    <row r="30" spans="1:8" ht="136.05000000000001" customHeight="1" x14ac:dyDescent="0.3">
      <c r="A30" s="10" t="s">
        <v>574</v>
      </c>
      <c r="B30" s="10" t="s">
        <v>337</v>
      </c>
      <c r="C30" s="10" t="s">
        <v>575</v>
      </c>
      <c r="D30" s="10" t="s">
        <v>576</v>
      </c>
      <c r="E30" s="11" t="s">
        <v>496</v>
      </c>
      <c r="F30" s="10"/>
      <c r="G30" s="10"/>
      <c r="H30" s="10" t="s">
        <v>577</v>
      </c>
    </row>
    <row r="31" spans="1:8" ht="162" customHeight="1" x14ac:dyDescent="0.3">
      <c r="A31" s="10" t="s">
        <v>578</v>
      </c>
      <c r="B31" s="10" t="s">
        <v>339</v>
      </c>
      <c r="C31" s="10" t="s">
        <v>579</v>
      </c>
      <c r="D31" s="10" t="s">
        <v>580</v>
      </c>
      <c r="E31" s="11" t="s">
        <v>574</v>
      </c>
      <c r="F31" s="10"/>
      <c r="G31" s="10"/>
      <c r="H31" s="10" t="s">
        <v>581</v>
      </c>
    </row>
    <row r="32" spans="1:8" ht="162" customHeight="1" x14ac:dyDescent="0.3">
      <c r="A32" s="10" t="s">
        <v>582</v>
      </c>
      <c r="B32" s="10" t="s">
        <v>341</v>
      </c>
      <c r="C32" s="10" t="s">
        <v>583</v>
      </c>
      <c r="D32" s="10" t="s">
        <v>584</v>
      </c>
      <c r="E32" s="11" t="s">
        <v>574</v>
      </c>
      <c r="F32" s="10"/>
      <c r="G32" s="10"/>
      <c r="H32" s="10"/>
    </row>
    <row r="33" spans="1:8" ht="175" customHeight="1" x14ac:dyDescent="0.3">
      <c r="A33" s="10" t="s">
        <v>585</v>
      </c>
      <c r="B33" s="10" t="s">
        <v>586</v>
      </c>
      <c r="C33" s="10" t="s">
        <v>587</v>
      </c>
      <c r="D33" s="10" t="s">
        <v>588</v>
      </c>
      <c r="E33" s="11" t="s">
        <v>582</v>
      </c>
      <c r="F33" s="10"/>
      <c r="G33" s="10"/>
      <c r="H33" s="10" t="s">
        <v>533</v>
      </c>
    </row>
    <row r="34" spans="1:8" ht="175" customHeight="1" x14ac:dyDescent="0.3">
      <c r="A34" s="10" t="s">
        <v>589</v>
      </c>
      <c r="B34" s="10" t="s">
        <v>590</v>
      </c>
      <c r="C34" s="10" t="s">
        <v>591</v>
      </c>
      <c r="D34" s="10" t="s">
        <v>592</v>
      </c>
      <c r="E34" s="11" t="s">
        <v>582</v>
      </c>
      <c r="F34" s="10"/>
      <c r="G34" s="10"/>
      <c r="H34" s="10"/>
    </row>
    <row r="35" spans="1:8" ht="214" customHeight="1" x14ac:dyDescent="0.3">
      <c r="A35" s="10" t="s">
        <v>593</v>
      </c>
      <c r="B35" s="10" t="s">
        <v>346</v>
      </c>
      <c r="C35" s="10" t="s">
        <v>594</v>
      </c>
      <c r="D35" s="10" t="s">
        <v>595</v>
      </c>
      <c r="E35" s="11" t="s">
        <v>582</v>
      </c>
      <c r="F35" s="10"/>
      <c r="G35" s="10"/>
      <c r="H35" s="10" t="s">
        <v>596</v>
      </c>
    </row>
    <row r="36" spans="1:8" ht="201" customHeight="1" x14ac:dyDescent="0.3">
      <c r="A36" s="10" t="s">
        <v>597</v>
      </c>
      <c r="B36" s="10" t="s">
        <v>348</v>
      </c>
      <c r="C36" s="10" t="s">
        <v>598</v>
      </c>
      <c r="D36" s="10" t="s">
        <v>599</v>
      </c>
      <c r="E36" s="11" t="s">
        <v>593</v>
      </c>
      <c r="F36" s="10"/>
      <c r="G36" s="10"/>
      <c r="H36" s="10" t="s">
        <v>600</v>
      </c>
    </row>
    <row r="37" spans="1:8" ht="136.05000000000001" customHeight="1" x14ac:dyDescent="0.3">
      <c r="A37" s="10" t="s">
        <v>601</v>
      </c>
      <c r="B37" s="10" t="s">
        <v>602</v>
      </c>
      <c r="C37" s="10" t="s">
        <v>603</v>
      </c>
      <c r="D37" s="10" t="s">
        <v>604</v>
      </c>
      <c r="E37" s="11" t="s">
        <v>516</v>
      </c>
      <c r="F37" s="10"/>
      <c r="G37" s="10"/>
      <c r="H37" s="10" t="s">
        <v>605</v>
      </c>
    </row>
    <row r="38" spans="1:8" ht="175" customHeight="1" x14ac:dyDescent="0.3">
      <c r="A38" s="10" t="s">
        <v>606</v>
      </c>
      <c r="B38" s="10" t="s">
        <v>607</v>
      </c>
      <c r="C38" s="10" t="s">
        <v>608</v>
      </c>
      <c r="D38" s="10" t="s">
        <v>609</v>
      </c>
      <c r="E38" s="11"/>
      <c r="F38" s="10"/>
      <c r="G38" s="10"/>
      <c r="H38" s="10"/>
    </row>
  </sheetData>
  <mergeCells count="5">
    <mergeCell ref="F6:H6"/>
    <mergeCell ref="F5:H5"/>
    <mergeCell ref="B4:H4"/>
    <mergeCell ref="B2:H2"/>
    <mergeCell ref="B3:H3"/>
  </mergeCells>
  <conditionalFormatting sqref="F9:F996">
    <cfRule type="cellIs" dxfId="3" priority="1" operator="equal">
      <formula>"Passed"</formula>
    </cfRule>
    <cfRule type="cellIs" dxfId="2" priority="2" operator="equal">
      <formula>"Failed"</formula>
    </cfRule>
    <cfRule type="cellIs" dxfId="1" priority="3" operator="equal">
      <formula>"Blocked"</formula>
    </cfRule>
    <cfRule type="cellIs" dxfId="0" priority="4" operator="equal">
      <formula>"Skipped"</formula>
    </cfRule>
  </conditionalFormatting>
  <dataValidations count="1">
    <dataValidation type="list" allowBlank="1" sqref="F9:F996" xr:uid="{00000000-0002-0000-0300-000000000000}">
      <formula1>$J$2:$J$6</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TestDesign</vt:lpstr>
      <vt:lpstr>Giỏ hàng</vt:lpstr>
      <vt:lpstr>Đặt hàng và thanh toán</vt:lpstr>
      <vt:lpstr>Mua trả góp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Trần Thị Mỹ Trâm</cp:lastModifiedBy>
  <dcterms:created xsi:type="dcterms:W3CDTF">2026-10-20T16:58:13Z</dcterms:created>
  <dcterms:modified xsi:type="dcterms:W3CDTF">2026-10-30T05:12:47Z</dcterms:modified>
</cp:coreProperties>
</file>