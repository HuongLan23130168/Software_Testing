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HK7\Test\23130340_TranThiMyTram_ASM6\"/>
    </mc:Choice>
  </mc:AlternateContent>
  <xr:revisionPtr revIDLastSave="0" documentId="13_ncr:1_{7AD26A35-9B92-4D59-BC1E-8AA616BB3E72}" xr6:coauthVersionLast="47" xr6:coauthVersionMax="47" xr10:uidLastSave="{00000000-0000-0000-0000-000000000000}"/>
  <bookViews>
    <workbookView xWindow="-113" yWindow="-113" windowWidth="24267" windowHeight="13023" activeTab="1" xr2:uid="{00000000-000D-0000-FFFF-FFFF00000000}"/>
  </bookViews>
  <sheets>
    <sheet name="TestDesign" sheetId="1" r:id="rId1"/>
    <sheet name="Giỏ hàng"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2" l="1"/>
  <c r="E6" i="2"/>
  <c r="C6" i="2" s="1"/>
  <c r="D6" i="2"/>
  <c r="B6" i="2"/>
  <c r="A6" i="2"/>
</calcChain>
</file>

<file path=xl/sharedStrings.xml><?xml version="1.0" encoding="utf-8"?>
<sst xmlns="http://schemas.openxmlformats.org/spreadsheetml/2006/main" count="258" uniqueCount="211">
  <si>
    <t>Module Code</t>
  </si>
  <si>
    <t>CART</t>
  </si>
  <si>
    <t>Dữ liệu test chung</t>
  </si>
  <si>
    <t>Test requirement</t>
  </si>
  <si>
    <t>Giỏ hàng (Thêm, hiển thị, cập nhật, tính tiền, lưu trữ) - https://www.dienmayxanh.com/</t>
  </si>
  <si>
    <t>SP A: sản phẩm có Flash sale (giá giảm, trang chi tiết hiển thị "Còn x/y suất")</t>
  </si>
  <si>
    <t>Tester</t>
  </si>
  <si>
    <t>Trần Thị Mỹ Trâm</t>
  </si>
  <si>
    <t>SP B: sản phẩm có giảm giá và quà tặng kèm</t>
  </si>
  <si>
    <t>Passed</t>
  </si>
  <si>
    <t>Failed</t>
  </si>
  <si>
    <t>Untested</t>
  </si>
  <si>
    <t>Blocked</t>
  </si>
  <si>
    <t>Skipped</t>
  </si>
  <si>
    <t>Number of Test cases</t>
  </si>
  <si>
    <t>SP C: sản phẩm thường, không khuyến mãi. SP D: sản phẩm hết hàng tại khu vực đang chọn. SP E: sản phẩm Flash sale đã hết suất</t>
  </si>
  <si>
    <t>Test Case ID</t>
  </si>
  <si>
    <t>Test Case Title</t>
  </si>
  <si>
    <t>Test Case Description</t>
  </si>
  <si>
    <t>Expected Output</t>
  </si>
  <si>
    <t>Inter-test case Dependence</t>
  </si>
  <si>
    <t>Status</t>
  </si>
  <si>
    <t>Test date</t>
  </si>
  <si>
    <t>Note</t>
  </si>
  <si>
    <t>CART_Add_01</t>
  </si>
  <si>
    <t>Thêm sản phẩm vào giỏ hàng thành công từ trang chi tiết</t>
  </si>
  <si>
    <t>Pre-condition:
+ Chưa đăng nhập
+ Giỏ hàng đang trống
+ Khu vực nhận hàng: Hồ Chí Minh
+ Dùng SP A (có Flash sale)
Steps:
1. Mở trang chi tiết SP A
2. Click nút [Thêm vào giỏ]
3. Click biểu tượng [Giỏ hàng] trên header</t>
  </si>
  <si>
    <t>1. Trang chi tiết hiển thị đúng tên, giá, các nút [Thêm vào giỏ], [Mua ngay]
2. Hiển thị thông báo thêm vào giỏ thành công, vẫn ở trang chi tiết
3. Mở trang giỏ hàng, có 1 dòng SP A, số lượng = 1, đơn giá = a</t>
  </si>
  <si>
    <t>CART_Add_02</t>
  </si>
  <si>
    <t>Hiển thị thông báo và liên kết [Xem giỏ hàng] sau khi thêm sản phẩm</t>
  </si>
  <si>
    <t>Pre-condition:
+ Giỏ hàng đang trống
+ Dùng SP A (có Flash sale)
Steps:
1. Mở trang chi tiết SP A, click [Thêm vào giỏ]
2. Quan sát thông báo trên header
3. Click liên kết [Xem giỏ hàng] trong thông báo
4. Quay lại trang chi tiết, thêm SP A một lần nữa</t>
  </si>
  <si>
    <t>1. Hiển thị thông báo "Đã thêm vào giỏ hàng" kèm liên kết [Xem giỏ hàng]
2. Thông báo không che các nút chức năng khác
3. Chuyển sang trang giỏ hàng và có SP A
4. Thông báo hiển thị lại mỗi lần thêm, không bị lặp nhiều thông báo chồng nhau</t>
  </si>
  <si>
    <t>Xác nhận: thông báo tự ẩn sau mấy giây hay phải đóng thủ công</t>
  </si>
  <si>
    <t>CART_Add_03</t>
  </si>
  <si>
    <t>Nút [Mua ngay] chuyển sang trang mua ngay mà không thêm sản phẩm vào giỏ hàng</t>
  </si>
  <si>
    <t>Pre-condition:
+ Chưa đăng nhập
+ Giỏ hàng đang trống
+ Dùng SP A (có Flash sale)
Steps:
1. Mở trang chi tiết SP A, click [Mua ngay]
2. Quan sát địa chỉ trang và nội dung hiển thị
3. Click [Giỏ hàng] trên header</t>
  </si>
  <si>
    <t>1. Trang chi tiết SP A hiển thị đúng, nút [Mua ngay] hoạt động
2. Chuyển sang trang /gio-hang-mua-ngay, hiển thị SP A số lượng 1, đơn giá = a
3. Chuyển sang trang /gio-hang, hiển thị giỏ hàng trống; biểu tượng giỏ hàng không tăng số lượng</t>
  </si>
  <si>
    <t>Xác nhận: chi tiết các phần khác của trang /gio-hang-mua-ngay (hình thức nhận hàng, thông tin khách hàng)</t>
  </si>
  <si>
    <t>CART_Add_04</t>
  </si>
  <si>
    <t>Thêm sản phẩm vào giỏ hàng khi chưa chọn khu vực nhận hàng</t>
  </si>
  <si>
    <t>Pre-condition:
+ Dùng trình duyệt ẩn danh (chưa lưu khu vực)
+ Dùng SP A (có Flash sale)
Steps:
1. Mở trang chủ https://www.dienmayxanh.com/
2. Mở trang chi tiết SP A
3. Click [Thêm vào giỏ]</t>
  </si>
  <si>
    <t>1. Hiển thị gợi ý khu vực mặc định (vd: "Bạn đang ở tại Hồ Chí Minh?") hoặc popup chọn khu vực
2. Giá hiển thị theo khu vực mặc định đang chọn
3. Thêm vào giỏ thành công hoặc yêu cầu chọn địa chỉ; không lỗi trắng trang</t>
  </si>
  <si>
    <t>Xác nhận: hệ thống tự gán khu vực hay bắt buộc chọn trước khi thêm giỏ</t>
  </si>
  <si>
    <t>CART_Add_05</t>
  </si>
  <si>
    <t>Thêm sản phẩm vào giỏ hàng khi chưa đăng nhập</t>
  </si>
  <si>
    <t>Pre-condition:
+ Chưa đăng nhập
+ Giỏ hàng đang trống
+ Dùng SP A (có Flash sale)
Steps:
1. Mở trang chi tiết SP A, click [Thêm vào giỏ]
2. Mở trang giỏ hàng</t>
  </si>
  <si>
    <t>1. Thêm thành công, không bắt buộc đăng nhập
2. Giỏ hàng hiển thị SP A, số lượng 1</t>
  </si>
  <si>
    <t>CART_Add_06</t>
  </si>
  <si>
    <t>Thêm cùng một sản phẩm hai lần thì số lượng tăng lên 2</t>
  </si>
  <si>
    <t>Pre-condition:
+ Giỏ hàng đang trống
+ Dùng SP A (có Flash sale)
Steps:
1. Mở trang chi tiết SP A, click [Thêm vào giỏ]
2. Click [Thêm vào giỏ] một lần nữa
3. Mở trang giỏ hàng</t>
  </si>
  <si>
    <t>1. Thêm thành công, giỏ có SP A số lượng 1
2. Hiển thị thông báo thêm thành công, thêm thành công
3. Giỏ hàng chỉ có 1 dòng SP A, số lượng = 2, thành tiền = 2 × a (không tách thành 2 dòng)</t>
  </si>
  <si>
    <t>CART_Add_07</t>
  </si>
  <si>
    <t>Thêm nhiều sản phẩm khác nhau vào giỏ hàng thành công</t>
  </si>
  <si>
    <t>Pre-condition:
+ Giỏ hàng đang trống
+ Dùng SP A (có Flash sale), SP B (có quà tặng), SP C (sản phẩm thường)
Steps:
1. Thêm SP A vào giỏ
2. Thêm SP B vào giỏ
3. Thêm SP C vào giỏ
4. Mở trang giỏ hàng</t>
  </si>
  <si>
    <t>1. Thêm thành công
2. Thêm thành công
3. Thêm thành công
4. Giỏ có 3 dòng SP A, SP B, SP C, mỗi dòng số lượng 1; tổng tiền = a + b + c</t>
  </si>
  <si>
    <t>CART_Add_08</t>
  </si>
  <si>
    <t>Không thể thêm sản phẩm hết hàng tại khu vực vào giỏ hàng</t>
  </si>
  <si>
    <t>Pre-condition:
+ Có 1 sản phẩm ở trạng thái hết hàng/ngừng bán tại khu vực đang chọn (SP D, tester xác định khi test)
+ Giỏ hàng đang trống
Steps:
1. Mở trang chi tiết SP D
2. Quan sát các nút mua hàng
3. Nếu nút [Thêm vào giỏ] còn khả dụng, click vào nút và mở giỏ hàng</t>
  </si>
  <si>
    <t>1. Hiển thị trạng thái hết hàng/ngừng kinh doanh
2. Nút [Thêm vào giỏ] bị ẩn/vô hiệu hoặc thay bằng nút khác (vd: tìm sản phẩm tương tự)
3. SP D không được thêm vào giỏ; hiển thị thông báo hết hàng phù hợp</t>
  </si>
  <si>
    <t>Xác nhận: cách website hiển thị sản phẩm hết hàng</t>
  </si>
  <si>
    <t>CART_Add_09</t>
  </si>
  <si>
    <t>Không giữ giá Flash sale khi sản phẩm đã hết suất</t>
  </si>
  <si>
    <t>Pre-condition:
+ Có 1 sản phẩm Flash sale đã hết suất (SP E, hiển thị 0 suất hoặc đã kết thúc)
+ Giỏ hàng đang trống
Steps:
1. Mở trang chi tiết SP E
2. Click [Thêm vào giỏ]
3. Mở trang giỏ hàng, xem đơn giá</t>
  </si>
  <si>
    <t>1. Trang không còn hiển thị giá Flash sale (hoặc báo hết suất)
2. Thêm giỏ thành công hoặc hiển thị thông báo hết suất
3. Nếu thêm được, đơn giá là giá thường, không giữ giá Flash sale</t>
  </si>
  <si>
    <t>Xác nhận: trang chi tiết sản phẩm Flash sale có dòng "Còn x/y suất"; số suất thay đổi theo thời gian</t>
  </si>
  <si>
    <t>CART_Display_01</t>
  </si>
  <si>
    <t>Mở trang giỏ hàng từ biểu tượng giỏ hàng trên header</t>
  </si>
  <si>
    <t>Pre-condition:
+ Chưa đăng nhập
+ Giỏ hàng có SP A (có Flash sale)
Steps:
1. Ở trang chủ, click [Giỏ hàng] trên header
2. Ở trang chi tiết sản phẩm, click [Giỏ hàng] trên header
3. Ở trang danh mục, click [Giỏ hàng] trên header</t>
  </si>
  <si>
    <t>1. Chuyển sang trang /gio-hang không yêu cầu đăng nhập, có SP A
2. Chuyển sang trang /gio-hang, nội dung giống nhau
3. Chuyển sang trang /gio-hang, nội dung giống nhau; header, footer hiển thị bình thường</t>
  </si>
  <si>
    <t>CART_Display_02</t>
  </si>
  <si>
    <t>Hiển thị giỏ hàng trống khi chưa có sản phẩm</t>
  </si>
  <si>
    <t>Pre-condition:
+ Chưa đăng nhập
+ Giỏ hàng đang trống
Steps:
1. Click [Giỏ hàng] trên header, quan sát trang
2. Quan sát phần thông tin hỗ trợ phía dưới
3. Click nút [Về trang chủ]</t>
  </si>
  <si>
    <t>1. Chuyển sang trang /gio-hang, hiển thị hình minh họa, tiêu đề "Giỏ hàng trống", dòng "Không có sản phẩm nào trong giỏ hàng"; không có tổng tiền, không có nút đặt hàng
2. Hiển thị thông tin hỗ trợ: gọi 1900.232.461 hoặc 028.3948.6789 (8h00 - 21h30)
3. Chuyển về trang chủ https://www.dienmayxanh.com/</t>
  </si>
  <si>
    <t>Đối chiếu ảnh chụp màn hình giỏ hàng trống đã khảo sát</t>
  </si>
  <si>
    <t>CART_Display_03</t>
  </si>
  <si>
    <t>Hiển thị đầy đủ thông tin từng sản phẩm trong giỏ hàng</t>
  </si>
  <si>
    <t>Pre-condition:
+ Giỏ hàng có SP A (SL 1) và SP B (SL 1)
Steps:
1. Mở trang giỏ hàng, quan sát từng dòng sản phẩm
2. So sánh tên, giá từng sản phẩm với trang chi tiết
3. Click vào ảnh/tên sản phẩm trong giỏ</t>
  </si>
  <si>
    <t>1. Mỗi dòng có ảnh, tên đầy đủ, đơn giá, số lượng, thành tiền; ảnh không vỡ, không bị cắt
2. Tên, giá khớp trang chi tiết (đơn giá SP A = a, SP B = b)
3. Chuyển sang trang chi tiết đúng sản phẩm (nếu giỏ cho phép)</t>
  </si>
  <si>
    <t>Xác nhận: giỏ có hiển thị màu/phiên bản và liên kết sang trang chi tiết không</t>
  </si>
  <si>
    <t>CART_Display_04</t>
  </si>
  <si>
    <t>Hiển thị đúng số lượng trên biểu tượng giỏ hàng</t>
  </si>
  <si>
    <t>Pre-condition:
+ Giỏ hàng đang trống
+ Dùng SP A (có Flash sale), SP B (có quà tặng)
Steps:
1. Quan sát biểu tượng giỏ hàng khi giỏ trống
2. Thêm SP A, quan sát biểu tượng
3. Thêm SP B, quan sát biểu tượng
4. Vào giỏ, tăng số lượng SP A lên 2, quan sát biểu tượng
5. Xóa SP B, quan sát biểu tượng</t>
  </si>
  <si>
    <t>1. Không hiển thị số (hoặc 0)
2. Hiển thị 1
3. Hiển thị 2
4. Hiển thị theo quy ước của hệ thống (số dòng sản phẩm = 2 hoặc tổng số lượng = 3), cần nhất quán
5. Biểu tượng giảm tương ứng</t>
  </si>
  <si>
    <t>Xác nhận: biểu tượng đếm số dòng sản phẩm hay tổng số lượng. Ảnh khảo sát trang giỏ hàng trống vẫn thấy chấm đỏ số "1" trên biểu tượng giỏ hàng, kiểm tra có phải lỗi hiển thị không</t>
  </si>
  <si>
    <t>CART_Display_05</t>
  </si>
  <si>
    <t>Bố cục giỏ hàng hiển thị đúng trên desktop</t>
  </si>
  <si>
    <t>Pre-condition:
+ Giỏ hàng có SP A (có Flash sale), SP B (có quà tặng)
+ Chrome bản mới nhất, độ phân giải 1920x1080
Steps:
1. Mở trang giỏ hàng
2. Thu/phóng cửa sổ trình duyệt (1366x768, 1024x768)
3. Cuộn trang</t>
  </si>
  <si>
    <t>1. Danh sách sản phẩm, số lượng, tổng tiền, nút đặt hàng hiển thị đầy đủ, căn chỉnh, không chồng chéo, đúng font và màu chung của website
2. Bố cục co giãn hợp lý, không vỡ giao diện
3. Không có thanh cuộn ngang; vùng tổng tiền/nút đặt hàng luôn truy cập được</t>
  </si>
  <si>
    <t>CART_Display_06</t>
  </si>
  <si>
    <t>Bố cục giỏ hàng hiển thị đúng trên di động</t>
  </si>
  <si>
    <t>Pre-condition:
+ Giỏ hàng có SP A (có Flash sale), SP B (có quà tặng)
+ Thiết bị di động (Android/iOS) hoặc Chrome DevTools 375x812
Steps:
1. Mở trang giỏ hàng
2. Cuộn trang
3. Xoay ngang màn hình</t>
  </si>
  <si>
    <t>1. Bố cục dạng 1 cột, không vỡ giao diện, chữ đọc được, nút +/−/xóa đủ lớn để bấm
2. Cuộn mượt; tổng tiền và nút đặt hàng hiển thị rõ, không bị che bởi thanh trình duyệt
3. Giao diện thích ứng khi xoay màn hình</t>
  </si>
  <si>
    <t>CART_Update_01</t>
  </si>
  <si>
    <t>Tăng số lượng sản phẩm thành công</t>
  </si>
  <si>
    <t>Pre-condition:
+ Giỏ hàng có SP A (có Flash sale), số lượng 1
Steps:
1. Mở trang giỏ hàng, quan sát hai nút cạnh ô số lượng
2. Click nút [+] một lần
3. Click nút [+] thêm một lần nữa
4. Nhập số lượng 5 vào ô số lượng, nhấn Enter</t>
  </si>
  <si>
    <t>1. Bên trái là biểu tượng thùng rác, bên phải là nút [+]
2. Số lượng = 2, thành tiền = 2 × a, tổng tiền cập nhật; nút bên trái chuyển thành [−]
3. Số lượng = 3, thành tiền = 3 × a, tổng tiền cập nhật
4. Ô số lượng cho phép nhập; số lượng = 5, thành tiền = 5 × a, tổng tiền và biểu tượng giỏ hàng cập nhật nhất quán</t>
  </si>
  <si>
    <t>CART_Update_02</t>
  </si>
  <si>
    <t>Giảm số lượng sản phẩm thành công</t>
  </si>
  <si>
    <t>Pre-condition:
+ Giỏ hàng có SP A (có Flash sale), số lượng 3
Steps:
1. Click nút [−] một lần
2. Click nút [−] thêm một lần nữa
3. Quan sát nút bên trái ô số lượng</t>
  </si>
  <si>
    <t>1. Số lượng = 2, thành tiền = 2 × a, tổng tiền cập nhật
2. Số lượng = 1, thành tiền = a, tổng tiền cập nhật
3. Khi số lượng là 1, nút [−] được thay bằng biểu tượng thùng rác</t>
  </si>
  <si>
    <t>CART_Update_03</t>
  </si>
  <si>
    <t>Hiển thị biểu tượng thùng rác thay cho nút giảm khi số lượng là 1</t>
  </si>
  <si>
    <t>Pre-condition:
+ Giỏ hàng có SP A (có Flash sale), số lượng 1
Steps:
1. Mở trang giỏ hàng, quan sát nút bên trái ô số lượng
2. Click biểu tượng thùng rác
3. Trong hộp thoại xác nhận, click [Hủy]/đóng
4. Click biểu tượng thùng rác lần nữa, chọn xác nhận xóa</t>
  </si>
  <si>
    <t>1. Bên trái là biểu tượng thùng rác, không còn nút [−]
2. Hiển thị hộp thoại xác nhận xóa sản phẩm SP A
3. Đóng hộp thoại, SP A vẫn còn trong giỏ, số lượng 1
4. SP A bị xóa khỏi giỏ, hiển thị giỏ hàng trống</t>
  </si>
  <si>
    <t>Xác nhận: tên các nút trong hộp thoại xác nhận (vd: Hủy/Đồng ý)</t>
  </si>
  <si>
    <t>CART_Update_04</t>
  </si>
  <si>
    <t>Không thể nhập số lượng vượt giới hạn tối đa</t>
  </si>
  <si>
    <t>Pre-condition:
+ Giỏ hàng có SP A (có Flash sale)
+ Biết số lượng tối đa cho phép của SP A (ghi vào Note khi test)
Steps:
1. Nhập số lượng bằng giới hạn tối đa, nhấn Enter/click ra ngoài
2. Nhập số lượng = giới hạn tối đa + 1
3. Nhập số lượng 99999</t>
  </si>
  <si>
    <t>1. Cập nhật thành công, thành tiền đúng
2. Hiển thị thông báo vượt số lượng cho phép; số lượng đặt về mức tối đa hoặc giữ giá trị cũ
3. Hiển thị thông báo tương tự, không lỗi hệ thống, tổng tiền không bị tính sai</t>
  </si>
  <si>
    <t>Xác nhận: giới hạn tối đa mỗi sản phẩm và nội dung thông báo thực tế</t>
  </si>
  <si>
    <t>CART_Update_05</t>
  </si>
  <si>
    <t>Không thể nhập số lượng không hợp lệ</t>
  </si>
  <si>
    <t>Pre-condition:
+ Giỏ hàng có SP A (có Flash sale), số lượng 1
Steps:
1. Nhập số lượng "abc", rồi click ra ngoài
2. Nhập "-1"
3. Nhập "0"
4. Nhập "1.5"
5. Nhập ký tự đặc biệt "@#$"
6. Xóa trống ô số lượng, rồi click ra ngoài</t>
  </si>
  <si>
    <t>1. Không chấp nhận ký tự chữ; số lượng quay về giá trị hợp lệ trước đó
2. Không chấp nhận số âm; số lượng quay về giá trị hợp lệ
3. Không chấp nhận 0 hoặc hỏi xác nhận xóa sản phẩm
4. Không chấp nhận số thập phân
5. Không chấp nhận ký tự đặc biệt
6. Số lượng quay về giá trị hợp lệ (≥ 1)
7. Tổng tiền không hiển thị NaN/âm; không lỗi hệ thống ở các bước</t>
  </si>
  <si>
    <t>Test viên đối chiếu từng bước, kết quả cuối kiểm tra tổng tiền</t>
  </si>
  <si>
    <t>CART_Update_06</t>
  </si>
  <si>
    <t>Xóa một sản phẩm khỏi giỏ hàng sau khi xác nhận</t>
  </si>
  <si>
    <t>Pre-condition:
+ Giỏ hàng có SP A (SL 1) và SP B (SL 1)
Steps:
1. Mở trang giỏ hàng, click biểu tượng thùng rác ở dòng SP B
2. Trong hộp thoại xác nhận, click [Hủy]/đóng
3. Click biểu tượng thùng rác ở dòng SP B lần nữa, chọn xác nhận xóa</t>
  </si>
  <si>
    <t>1. Hiển thị hộp thoại xác nhận xóa sản phẩm SP B
2. Đóng hộp thoại, SP B vẫn còn trong giỏ, tổng tiền = a + b
3. SP B biến mất khỏi giỏ, SP A giữ nguyên; tổng tiền = a; biểu tượng giỏ hàng cập nhật</t>
  </si>
  <si>
    <t>Xác nhận: tên các nút trong hộp thoại xác nhận</t>
  </si>
  <si>
    <t>CART_Update_07</t>
  </si>
  <si>
    <t>Xóa toàn bộ sản phẩm khỏi giỏ hàng sau khi xác nhận</t>
  </si>
  <si>
    <t>Pre-condition:
+ Giỏ hàng có SP A (có Flash sale), SP B (có quà tặng), SP C (sản phẩm thường), mỗi sản phẩm số lượng 1
Steps:
1. Click biểu tượng thùng rác từng sản phẩm, xác nhận xóa ở mỗi lần
2. Quan sát trang giỏ hàng
3. Tải lại trang (F5)</t>
  </si>
  <si>
    <t>1. Mỗi lần xóa đều hiển thị hộp thoại xác nhận; sản phẩm bị xóa, tổng tiền cập nhật sau mỗi lần
2. Hiển thị trang "Giỏ hàng trống" với nút [Về trang chủ]; tổng tiền = 0
3. Giỏ hàng vẫn trống, không xuất hiện lại sản phẩm đã xóa</t>
  </si>
  <si>
    <t>Nếu có nút [Xóa tất cả] thì kiểm tra thêm</t>
  </si>
  <si>
    <t>CART_Calc_01</t>
  </si>
  <si>
    <t>Tổng tiền tính đúng theo đơn giá nhân số lượng</t>
  </si>
  <si>
    <t>Pre-condition:
+ Giỏ hàng có SP A (SL 2) và SP B (SL 1)
Steps:
1. Mở trang giỏ hàng, kiểm tra thành tiền từng dòng
2. Kiểm tra tổng tiền
3. Kiểm tra định dạng số tiền</t>
  </si>
  <si>
    <t>1. SP A: a × 2 = 2a; SP B: b × 1 = b
2. Tổng tiền = 2a + b
3. Số tiền có dấu phân cách hàng nghìn và ký hiệu "đ", nhất quán toàn trang</t>
  </si>
  <si>
    <t>Giá thay đổi theo thời điểm/khu vực, tester tính lại theo giá hiển thị thực tế</t>
  </si>
  <si>
    <t>CART_Calc_02</t>
  </si>
  <si>
    <t>Tổng tiền tính theo giá đã giảm khi sản phẩm có khuyến mãi</t>
  </si>
  <si>
    <t>Pre-condition:
+ Giỏ hàng đang trống
+ Dùng SP B (có giảm giá, có quà tặng kèm)
Steps:
1. Thêm SP B vào giỏ
2. Mở trang giỏ hàng, kiểm tra đơn giá và thông tin quà tặng
3. So sánh tổng tiền với giá trên trang chi tiết</t>
  </si>
  <si>
    <t>1. Thêm thành công
2. Đơn giá trong giỏ là giá sau giảm hiển thị trên trang chi tiết, không dùng giá gốc; quà tặng kèm (nếu hiển thị) đúng nội dung khuyến mãi
3. Tổng tiền = giá sau giảm × số lượng, quà tặng không làm thay đổi tổng tiền</t>
  </si>
  <si>
    <t>Xác nhận: giỏ hàng có hiển thị quà tặng kèm hay không; một số ưu đãi chỉ áp dụng khi thanh toán 1 sản phẩm</t>
  </si>
  <si>
    <t>CART_Calc_03</t>
  </si>
  <si>
    <t>Giá và tình trạng hàng cập nhật khi đổi khu vực nhận hàng</t>
  </si>
  <si>
    <t>Pre-condition:
+ Giỏ hàng có SP A (có Flash sale)
+ Đang chọn khu vực Hồ Chí Minh
Steps:
1. Mở trang giỏ hàng, ghi nhận giá và tình trạng hàng
2. Đổi khu vực nhận hàng sang Thành phố Hà Nội
3. Quan sát giỏ hàng sau khi đổi khu vực</t>
  </si>
  <si>
    <t>1. Giá hiển thị theo khu vực Hồ Chí Minh
2. Hệ thống cập nhật khu vực mới
3. Giá, khuyến mãi, tình trạng hàng cập nhật theo khu vực mới; tổng tiền tính lại đúng; nếu sản phẩm không có hàng tại khu vực mới thì có thông báo</t>
  </si>
  <si>
    <t>Xác nhận: giá giữa các khu vực có thể khác nhau tùy sản phẩm</t>
  </si>
  <si>
    <t>CART_Calc_04</t>
  </si>
  <si>
    <t>Cập nhật lại giá khi khuyến mãi kết thúc</t>
  </si>
  <si>
    <t>Pre-condition:
+ Giỏ hàng có SP A (Flash sale, trang chi tiết ghi khuyến mãi đến 23:59 ngày kết thúc)
+ Thực hiện trước thời điểm kết thúc khuyến mãi
Steps:
1. Thêm SP A vào giỏ trước 23:59, ghi nhận giá Flash sale
2. Giữ phiên làm việc, chờ qua thời điểm kết thúc khuyến mãi
3. Tải lại trang giỏ hàng</t>
  </si>
  <si>
    <t>1. Giá trong giỏ là giá Flash sale hiển thị trên trang chi tiết
2. Phiên vẫn hoạt động bình thường
3. Giá cập nhật về giá thường hoặc có thông báo giá thay đổi; tổng tiền tính lại đúng, không giữ giá khuyến mãi cũ</t>
  </si>
  <si>
    <t>Xác nhận: hệ thống thông báo thay đổi giá hay tự cập nhật im lặng</t>
  </si>
  <si>
    <t>CART_Store_01</t>
  </si>
  <si>
    <t>Giữ nguyên giỏ hàng sau khi tải lại trang</t>
  </si>
  <si>
    <t>Pre-condition:
+ Giỏ hàng có SP A (SL 2), SP B (SL 1)
Steps:
1. Tải lại trang giỏ hàng (F5)
2. Đóng tab, mở lại trang https://www.dienmayxanh.com/ rồi vào giỏ hàng
3. Đóng hoàn toàn trình duyệt, mở lại, vào giỏ hàng</t>
  </si>
  <si>
    <t>1. Giỏ hàng giữ nguyên sản phẩm, số lượng, tổng tiền
2. Giỏ hàng giữ nguyên
3. Giỏ hàng giữ nguyên (hoặc ghi nhận thời gian lưu giỏ nếu bị xóa)</t>
  </si>
  <si>
    <t>Xác nhận: thời gian lưu giỏ hàng khi chưa đăng nhập</t>
  </si>
  <si>
    <t>CART_Store_02</t>
  </si>
  <si>
    <t>Giữ nguyên giỏ hàng khi đăng nhập và đăng xuất</t>
  </si>
  <si>
    <t>Pre-condition:
+ Chưa đăng nhập, giỏ hàng có SP A (có Flash sale)
+ Có số điện thoại nhận được OTP
Steps:
1. Đăng nhập bằng số điện thoại/OTP
2. Mở trang giỏ hàng
3. Đăng xuất
4. Mở trang giỏ hàng</t>
  </si>
  <si>
    <t>1. Đăng nhập thành công
2. Giỏ hàng vẫn có SP A (không mất, không nhân đôi nếu tài khoản đã có giỏ)
3. Đăng xuất thành công
4. Hành vi giỏ hàng sau đăng xuất nhất quán với quy ước hệ thống, không lỗi</t>
  </si>
  <si>
    <t>Xác nhận: giỏ hàng gắn với tài khoản hay với phiên trình duyệt</t>
  </si>
  <si>
    <t>CART_Store_03</t>
  </si>
  <si>
    <t>Đồng bộ giỏ hàng giữa hai tab</t>
  </si>
  <si>
    <t>Pre-condition:
+ Giỏ hàng có SP A (có Flash sale)
+ Mở 2 tab trình duyệt cùng website, cả hai tab đang ở trang giỏ hàng
Steps:
1. Tại tab 1, thêm SP B từ trang chi tiết
2. Chuyển sang tab 2, tải lại trang giỏ hàng
3. Tại tab 2, xóa SP A, rồi quay lại tab 1 và tải lại</t>
  </si>
  <si>
    <t>1. Thêm thành công
2. Tab 2 hiển thị SP A và SP B
3. Tab 1 sau khi tải lại chỉ còn SP B, tổng tiền đúng; không còn dữ liệu cũ</t>
  </si>
  <si>
    <t>CART_Checkout_01</t>
  </si>
  <si>
    <t>Chuyển sang bước đặt hàng với thông tin khớp giỏ hàng</t>
  </si>
  <si>
    <t>Pre-condition:
+ Giỏ hàng có SP A (có Flash sale), số lượng 2
Steps:
1. Mở trang giỏ hàng, click nút đặt hàng
2. Kiểm tra phần tóm tắt đơn hàng ở trang đặt hàng
3. Click quay lại giỏ hàng</t>
  </si>
  <si>
    <t>1. Chuyển sang trang đặt hàng/nhập thông tin nhận hàng
2. Sản phẩm, số lượng (2), tổng tiền = 2 × a khớp với giỏ hàng
3. Quay lại giỏ hàng, nội dung không thay đổi</t>
  </si>
  <si>
    <t>Xác nhận: tên nút đặt hàng trong giỏ</t>
  </si>
  <si>
    <t>Requirement Level 1</t>
  </si>
  <si>
    <t>Requirement Level 2</t>
  </si>
  <si>
    <t>Requirement Level 3</t>
  </si>
  <si>
    <t>Test Criteria</t>
  </si>
  <si>
    <t>Test Type</t>
  </si>
  <si>
    <t>6.5 Mua hàng</t>
  </si>
  <si>
    <t>6.5.1 Giỏ hàng</t>
  </si>
  <si>
    <t>Thêm vào giỏ</t>
  </si>
  <si>
    <t>Thêm sản phẩm từ trang chi tiết bằng nút [Thêm vào giỏ]</t>
  </si>
  <si>
    <t>Function</t>
  </si>
  <si>
    <t>Kiểm tra thông báo thêm vào giỏ và liên kết [Xem giỏ hàng]</t>
  </si>
  <si>
    <t>Kiểm tra nút [Mua ngay] chuyển sang trang /gio-hang-mua-ngay, không thêm sản phẩm vào giỏ</t>
  </si>
  <si>
    <t>Thêm sản phẩm khi chưa chọn khu vực nhận hàng</t>
  </si>
  <si>
    <t>Thêm sản phẩm khi chưa đăng nhập</t>
  </si>
  <si>
    <t>Thêm cùng một sản phẩm hai lần</t>
  </si>
  <si>
    <t>Thêm nhiều sản phẩm khác nhau</t>
  </si>
  <si>
    <t>Thêm sản phẩm tạm hết hàng tại khu vực đang chọn</t>
  </si>
  <si>
    <t>Thêm sản phẩm Flash sale đã hết suất</t>
  </si>
  <si>
    <t>Trang chi tiết có 'Còn x/y suất'</t>
  </si>
  <si>
    <t>Hiển thị</t>
  </si>
  <si>
    <t>Kiểm tra mở trang giỏ hàng từ biểu tượng [Giỏ hàng] trên header</t>
  </si>
  <si>
    <t>Kiểm tra hiển thị giỏ hàng trống (tiêu đề, thông báo, nút [Về trang chủ], thông tin hỗ trợ)</t>
  </si>
  <si>
    <t>Kiểm tra hiển thị ảnh, tên, phiên bản/màu, đơn giá, số lượng từng sản phẩm</t>
  </si>
  <si>
    <t>Kiểm tra số lượng hiển thị trên biểu tượng giỏ hàng</t>
  </si>
  <si>
    <t>Kiểm tra bố cục giỏ hàng trên desktop</t>
  </si>
  <si>
    <t>GUI</t>
  </si>
  <si>
    <t>Kiểm tra bố cục giỏ hàng trên di động</t>
  </si>
  <si>
    <t>Cập nhật</t>
  </si>
  <si>
    <t>Tăng số lượng bằng nút [+] và nhập trực tiếp vào ô số lượng</t>
  </si>
  <si>
    <t>Giảm số lượng</t>
  </si>
  <si>
    <t>Kiểm tra biểu tượng thùng rác thay cho nút giảm khi số lượng là 1</t>
  </si>
  <si>
    <t>Nhập số lượng vượt tồn kho/giới hạn tối đa</t>
  </si>
  <si>
    <t>Nhập số lượng không hợp lệ (chữ, số âm, 0, số thập phân, ký tự đặc biệt, để trống)</t>
  </si>
  <si>
    <t>Xóa một sản phẩm (có hộp thoại xác nhận xóa)</t>
  </si>
  <si>
    <t>Xóa toàn bộ sản phẩm (có hộp thoại xác nhận xóa)</t>
  </si>
  <si>
    <t>Tính tiền</t>
  </si>
  <si>
    <t>Kiểm tra tổng tiền tính đúng theo đơn giá × số lượng</t>
  </si>
  <si>
    <t>Kiểm tra giá và tổng tiền khi sản phẩm có giảm giá, quà tặng kèm</t>
  </si>
  <si>
    <t>Kiểm tra giá, tồn kho thay đổi khi đổi khu vực nhận hàng</t>
  </si>
  <si>
    <t>Kiểm tra giỏ hàng khi khuyến mãi kết thúc hoặc sản phẩm ngừng kinh doanh</t>
  </si>
  <si>
    <t>Lưu trữ</t>
  </si>
  <si>
    <t>Kiểm tra giỏ hàng được giữ sau khi tải lại trang/đóng mở lại trình duyệt</t>
  </si>
  <si>
    <t>Kiểm tra giỏ hàng khi đăng nhập/đăng xuất</t>
  </si>
  <si>
    <t>Kiểm tra giỏ hàng đồng bộ giữa hai tab</t>
  </si>
  <si>
    <t>Chuyển sang đặt hàng</t>
  </si>
  <si>
    <t>Kiểm tra chuyển sang bước đặt hàng từ giỏ hàng, thông tin khớp với giỏ</t>
  </si>
  <si>
    <t>Ký hiệu: a, b, c = đơn giá hiển thị trên trang chi tiết (theo khu vực đã chọn) của SP A, SP B, SP C. Trình duyệt: 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</si>
</sst>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name val="Tahoma"/>
    </font>
    <font>
      <sz val="10"/>
      <color rgb="FF008000"/>
      <name val="Tahoma"/>
    </font>
    <font>
      <sz val="10"/>
      <name val="Tahoma"/>
    </font>
    <font>
      <b/>
      <sz val="10"/>
      <color rgb="FFFFFFFF"/>
      <name val="Tahoma"/>
    </font>
  </fonts>
  <fills count="4">
    <fill>
      <patternFill patternType="none"/>
    </fill>
    <fill>
      <patternFill patternType="gray125"/>
    </fill>
    <fill>
      <patternFill patternType="solid">
        <fgColor rgb="FF00CCFF"/>
      </patternFill>
    </fill>
    <fill>
      <patternFill patternType="solid">
        <fgColor rgb="FF000080"/>
      </patternFill>
    </fill>
  </fills>
  <borders count="5">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1" fillId="0" borderId="0" xfId="0" applyFont="1"/>
    <xf numFmtId="0" fontId="3" fillId="0" borderId="2" xfId="0" applyFont="1" applyBorder="1" applyAlignment="1">
      <alignment vertical="center" wrapText="1"/>
    </xf>
    <xf numFmtId="0" fontId="5" fillId="0" borderId="0" xfId="0" applyFont="1"/>
    <xf numFmtId="0" fontId="3" fillId="0" borderId="0" xfId="0" applyFont="1" applyAlignment="1">
      <alignment vertical="top" wrapText="1"/>
    </xf>
    <xf numFmtId="0" fontId="5" fillId="0" borderId="0" xfId="0" applyFont="1" applyAlignment="1">
      <alignment vertical="top" wrapText="1"/>
    </xf>
    <xf numFmtId="0" fontId="3" fillId="0" borderId="2" xfId="0" applyFont="1" applyBorder="1" applyAlignment="1">
      <alignment horizontal="center" vertical="center" wrapText="1"/>
    </xf>
    <xf numFmtId="0" fontId="5" fillId="0" borderId="2" xfId="0" applyFont="1" applyBorder="1" applyAlignment="1">
      <alignment horizontal="center" vertical="center"/>
    </xf>
    <xf numFmtId="0" fontId="6" fillId="3" borderId="2" xfId="0" applyFont="1" applyFill="1" applyBorder="1" applyAlignment="1">
      <alignment horizontal="center" vertical="center" wrapText="1"/>
    </xf>
    <xf numFmtId="0" fontId="5"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horizontal="center" vertical="center"/>
    </xf>
    <xf numFmtId="0" fontId="0" fillId="0" borderId="3" xfId="0" applyBorder="1"/>
    <xf numFmtId="0" fontId="0" fillId="0" borderId="4" xfId="0" applyBorder="1"/>
    <xf numFmtId="0" fontId="3" fillId="0" borderId="2" xfId="0" applyFont="1" applyBorder="1" applyAlignment="1">
      <alignment horizontal="center" vertical="center" wrapText="1"/>
    </xf>
    <xf numFmtId="0" fontId="4" fillId="0" borderId="2" xfId="0" applyFont="1" applyBorder="1" applyAlignment="1">
      <alignment vertical="center" wrapText="1"/>
    </xf>
  </cellXfs>
  <cellStyles count="1">
    <cellStyle name="Normal" xfId="0" builtinId="0"/>
  </cellStyles>
  <dxfs count="4">
    <dxf>
      <fill>
        <patternFill patternType="solid">
          <fgColor rgb="FFD9D9D9"/>
          <bgColor rgb="FFD9D9D9"/>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opLeftCell="B1" workbookViewId="0">
      <pane ySplit="1" topLeftCell="A8" activePane="bottomLeft" state="frozen"/>
      <selection pane="bottomLeft" activeCell="D33" sqref="D33"/>
    </sheetView>
  </sheetViews>
  <sheetFormatPr defaultRowHeight="15.05" x14ac:dyDescent="0.3"/>
  <cols>
    <col min="1" max="1" width="16" customWidth="1"/>
    <col min="2" max="2" width="18" customWidth="1"/>
    <col min="3" max="3" width="22" customWidth="1"/>
    <col min="4" max="4" width="85" customWidth="1"/>
    <col min="5" max="5" width="14" customWidth="1"/>
    <col min="6" max="6" width="55" customWidth="1"/>
  </cols>
  <sheetData>
    <row r="1" spans="1:6" ht="25.55" customHeight="1" x14ac:dyDescent="0.3">
      <c r="A1" s="1" t="s">
        <v>164</v>
      </c>
      <c r="B1" s="1" t="s">
        <v>165</v>
      </c>
      <c r="C1" s="1" t="s">
        <v>166</v>
      </c>
      <c r="D1" s="1" t="s">
        <v>167</v>
      </c>
      <c r="E1" s="1" t="s">
        <v>168</v>
      </c>
      <c r="F1" s="1" t="s">
        <v>23</v>
      </c>
    </row>
    <row r="2" spans="1:6" x14ac:dyDescent="0.3">
      <c r="A2" s="2" t="s">
        <v>169</v>
      </c>
      <c r="B2" s="2" t="s">
        <v>170</v>
      </c>
      <c r="C2" s="2" t="s">
        <v>171</v>
      </c>
      <c r="D2" s="2" t="s">
        <v>172</v>
      </c>
      <c r="E2" s="2" t="s">
        <v>173</v>
      </c>
      <c r="F2" s="2"/>
    </row>
    <row r="3" spans="1:6" x14ac:dyDescent="0.3">
      <c r="A3" s="2"/>
      <c r="B3" s="2"/>
      <c r="C3" s="2"/>
      <c r="D3" s="2" t="s">
        <v>174</v>
      </c>
      <c r="E3" s="2" t="s">
        <v>173</v>
      </c>
      <c r="F3" s="2"/>
    </row>
    <row r="4" spans="1:6" x14ac:dyDescent="0.3">
      <c r="A4" s="2"/>
      <c r="B4" s="2"/>
      <c r="C4" s="2"/>
      <c r="D4" s="2" t="s">
        <v>175</v>
      </c>
      <c r="E4" s="2" t="s">
        <v>173</v>
      </c>
      <c r="F4" s="2"/>
    </row>
    <row r="5" spans="1:6" x14ac:dyDescent="0.3">
      <c r="A5" s="2"/>
      <c r="B5" s="2"/>
      <c r="C5" s="2"/>
      <c r="D5" s="2" t="s">
        <v>176</v>
      </c>
      <c r="E5" s="2" t="s">
        <v>173</v>
      </c>
      <c r="F5" s="2"/>
    </row>
    <row r="6" spans="1:6" x14ac:dyDescent="0.3">
      <c r="A6" s="2"/>
      <c r="B6" s="2"/>
      <c r="C6" s="2"/>
      <c r="D6" s="2" t="s">
        <v>177</v>
      </c>
      <c r="E6" s="2" t="s">
        <v>173</v>
      </c>
      <c r="F6" s="2"/>
    </row>
    <row r="7" spans="1:6" x14ac:dyDescent="0.3">
      <c r="A7" s="2"/>
      <c r="B7" s="2"/>
      <c r="C7" s="2"/>
      <c r="D7" s="2" t="s">
        <v>178</v>
      </c>
      <c r="E7" s="2" t="s">
        <v>173</v>
      </c>
      <c r="F7" s="2"/>
    </row>
    <row r="8" spans="1:6" x14ac:dyDescent="0.3">
      <c r="A8" s="2"/>
      <c r="B8" s="2"/>
      <c r="C8" s="2"/>
      <c r="D8" s="2" t="s">
        <v>179</v>
      </c>
      <c r="E8" s="2" t="s">
        <v>173</v>
      </c>
      <c r="F8" s="2"/>
    </row>
    <row r="9" spans="1:6" x14ac:dyDescent="0.3">
      <c r="A9" s="2"/>
      <c r="B9" s="2"/>
      <c r="C9" s="2"/>
      <c r="D9" s="2" t="s">
        <v>180</v>
      </c>
      <c r="E9" s="2" t="s">
        <v>173</v>
      </c>
      <c r="F9" s="2"/>
    </row>
    <row r="10" spans="1:6" x14ac:dyDescent="0.3">
      <c r="A10" s="2"/>
      <c r="B10" s="2"/>
      <c r="C10" s="2"/>
      <c r="D10" s="2" t="s">
        <v>181</v>
      </c>
      <c r="E10" s="2" t="s">
        <v>173</v>
      </c>
      <c r="F10" s="2" t="s">
        <v>182</v>
      </c>
    </row>
    <row r="11" spans="1:6" x14ac:dyDescent="0.3">
      <c r="A11" s="2"/>
      <c r="B11" s="2"/>
      <c r="C11" s="2" t="s">
        <v>183</v>
      </c>
      <c r="D11" s="2" t="s">
        <v>184</v>
      </c>
      <c r="E11" s="2" t="s">
        <v>173</v>
      </c>
      <c r="F11" s="2"/>
    </row>
    <row r="12" spans="1:6" x14ac:dyDescent="0.3">
      <c r="A12" s="2"/>
      <c r="B12" s="2"/>
      <c r="C12" s="2"/>
      <c r="D12" s="2" t="s">
        <v>185</v>
      </c>
      <c r="E12" s="2" t="s">
        <v>173</v>
      </c>
      <c r="F12" s="2"/>
    </row>
    <row r="13" spans="1:6" x14ac:dyDescent="0.3">
      <c r="A13" s="2"/>
      <c r="B13" s="2"/>
      <c r="C13" s="2"/>
      <c r="D13" s="2" t="s">
        <v>186</v>
      </c>
      <c r="E13" s="2" t="s">
        <v>173</v>
      </c>
      <c r="F13" s="2"/>
    </row>
    <row r="14" spans="1:6" x14ac:dyDescent="0.3">
      <c r="A14" s="2"/>
      <c r="B14" s="2"/>
      <c r="C14" s="2"/>
      <c r="D14" s="2" t="s">
        <v>187</v>
      </c>
      <c r="E14" s="2" t="s">
        <v>173</v>
      </c>
      <c r="F14" s="2"/>
    </row>
    <row r="15" spans="1:6" x14ac:dyDescent="0.3">
      <c r="A15" s="2"/>
      <c r="B15" s="2"/>
      <c r="C15" s="2"/>
      <c r="D15" s="2" t="s">
        <v>188</v>
      </c>
      <c r="E15" s="2" t="s">
        <v>189</v>
      </c>
      <c r="F15" s="2"/>
    </row>
    <row r="16" spans="1:6" x14ac:dyDescent="0.3">
      <c r="A16" s="2"/>
      <c r="B16" s="2"/>
      <c r="C16" s="2"/>
      <c r="D16" s="2" t="s">
        <v>190</v>
      </c>
      <c r="E16" s="2" t="s">
        <v>189</v>
      </c>
      <c r="F16" s="2"/>
    </row>
    <row r="17" spans="1:6" x14ac:dyDescent="0.3">
      <c r="A17" s="2"/>
      <c r="B17" s="2"/>
      <c r="C17" s="2" t="s">
        <v>191</v>
      </c>
      <c r="D17" s="2" t="s">
        <v>192</v>
      </c>
      <c r="E17" s="2" t="s">
        <v>173</v>
      </c>
      <c r="F17" s="2"/>
    </row>
    <row r="18" spans="1:6" x14ac:dyDescent="0.3">
      <c r="A18" s="2"/>
      <c r="B18" s="2"/>
      <c r="C18" s="2"/>
      <c r="D18" s="2" t="s">
        <v>193</v>
      </c>
      <c r="E18" s="2" t="s">
        <v>173</v>
      </c>
      <c r="F18" s="2"/>
    </row>
    <row r="19" spans="1:6" x14ac:dyDescent="0.3">
      <c r="A19" s="2"/>
      <c r="B19" s="2"/>
      <c r="C19" s="2"/>
      <c r="D19" s="2" t="s">
        <v>194</v>
      </c>
      <c r="E19" s="2" t="s">
        <v>173</v>
      </c>
      <c r="F19" s="2"/>
    </row>
    <row r="20" spans="1:6" x14ac:dyDescent="0.3">
      <c r="A20" s="2"/>
      <c r="B20" s="2"/>
      <c r="C20" s="2"/>
      <c r="D20" s="2" t="s">
        <v>195</v>
      </c>
      <c r="E20" s="2" t="s">
        <v>173</v>
      </c>
      <c r="F20" s="2"/>
    </row>
    <row r="21" spans="1:6" x14ac:dyDescent="0.3">
      <c r="A21" s="2"/>
      <c r="B21" s="2"/>
      <c r="C21" s="2"/>
      <c r="D21" s="2" t="s">
        <v>196</v>
      </c>
      <c r="E21" s="2" t="s">
        <v>173</v>
      </c>
      <c r="F21" s="2"/>
    </row>
    <row r="22" spans="1:6" x14ac:dyDescent="0.3">
      <c r="A22" s="2"/>
      <c r="B22" s="2"/>
      <c r="C22" s="2"/>
      <c r="D22" s="2" t="s">
        <v>197</v>
      </c>
      <c r="E22" s="2" t="s">
        <v>173</v>
      </c>
      <c r="F22" s="2"/>
    </row>
    <row r="23" spans="1:6" x14ac:dyDescent="0.3">
      <c r="A23" s="2"/>
      <c r="B23" s="2"/>
      <c r="C23" s="2"/>
      <c r="D23" s="2" t="s">
        <v>198</v>
      </c>
      <c r="E23" s="2" t="s">
        <v>173</v>
      </c>
      <c r="F23" s="2"/>
    </row>
    <row r="24" spans="1:6" x14ac:dyDescent="0.3">
      <c r="A24" s="2"/>
      <c r="B24" s="2"/>
      <c r="C24" s="2" t="s">
        <v>199</v>
      </c>
      <c r="D24" s="2" t="s">
        <v>200</v>
      </c>
      <c r="E24" s="2" t="s">
        <v>173</v>
      </c>
      <c r="F24" s="2"/>
    </row>
    <row r="25" spans="1:6" x14ac:dyDescent="0.3">
      <c r="A25" s="2"/>
      <c r="B25" s="2"/>
      <c r="C25" s="2"/>
      <c r="D25" s="2" t="s">
        <v>201</v>
      </c>
      <c r="E25" s="2" t="s">
        <v>173</v>
      </c>
      <c r="F25" s="2"/>
    </row>
    <row r="26" spans="1:6" x14ac:dyDescent="0.3">
      <c r="A26" s="2"/>
      <c r="B26" s="2"/>
      <c r="C26" s="2"/>
      <c r="D26" s="2" t="s">
        <v>202</v>
      </c>
      <c r="E26" s="2" t="s">
        <v>173</v>
      </c>
      <c r="F26" s="2"/>
    </row>
    <row r="27" spans="1:6" x14ac:dyDescent="0.3">
      <c r="A27" s="2"/>
      <c r="B27" s="2"/>
      <c r="C27" s="2"/>
      <c r="D27" s="2" t="s">
        <v>203</v>
      </c>
      <c r="E27" s="2" t="s">
        <v>173</v>
      </c>
      <c r="F27" s="2"/>
    </row>
    <row r="28" spans="1:6" x14ac:dyDescent="0.3">
      <c r="A28" s="2"/>
      <c r="B28" s="2"/>
      <c r="C28" s="2" t="s">
        <v>204</v>
      </c>
      <c r="D28" s="2" t="s">
        <v>205</v>
      </c>
      <c r="E28" s="2" t="s">
        <v>173</v>
      </c>
      <c r="F28" s="2"/>
    </row>
    <row r="29" spans="1:6" x14ac:dyDescent="0.3">
      <c r="A29" s="2"/>
      <c r="B29" s="2"/>
      <c r="C29" s="2"/>
      <c r="D29" s="2" t="s">
        <v>206</v>
      </c>
      <c r="E29" s="2" t="s">
        <v>173</v>
      </c>
      <c r="F29" s="2"/>
    </row>
    <row r="30" spans="1:6" x14ac:dyDescent="0.3">
      <c r="A30" s="2"/>
      <c r="B30" s="2"/>
      <c r="C30" s="2"/>
      <c r="D30" s="2" t="s">
        <v>207</v>
      </c>
      <c r="E30" s="2" t="s">
        <v>173</v>
      </c>
      <c r="F30" s="2"/>
    </row>
    <row r="31" spans="1:6" x14ac:dyDescent="0.3">
      <c r="A31" s="2"/>
      <c r="B31" s="2"/>
      <c r="C31" s="2" t="s">
        <v>208</v>
      </c>
      <c r="D31" s="2" t="s">
        <v>209</v>
      </c>
      <c r="E31" s="2" t="s">
        <v>173</v>
      </c>
      <c r="F31" s="2"/>
    </row>
    <row r="33" spans="4:5" x14ac:dyDescent="0.3">
      <c r="D33" s="3"/>
      <c r="E33"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38"/>
  <sheetViews>
    <sheetView tabSelected="1" workbookViewId="0">
      <pane ySplit="8" topLeftCell="A37" activePane="bottomLeft" state="frozen"/>
      <selection pane="bottomLeft" activeCell="L19" sqref="L19"/>
    </sheetView>
  </sheetViews>
  <sheetFormatPr defaultRowHeight="15.05" x14ac:dyDescent="0.3"/>
  <cols>
    <col min="1" max="1" width="13" customWidth="1"/>
    <col min="2" max="2" width="34" customWidth="1"/>
    <col min="3" max="4" width="58" customWidth="1"/>
    <col min="5" max="5" width="16" customWidth="1"/>
    <col min="6" max="6" width="12" customWidth="1"/>
    <col min="7" max="7" width="11" customWidth="1"/>
    <col min="8" max="8" width="38" customWidth="1"/>
    <col min="9" max="9" width="3" customWidth="1"/>
    <col min="10" max="10" width="10" customWidth="1"/>
    <col min="11" max="11" width="3" customWidth="1"/>
    <col min="12" max="12" width="60" customWidth="1"/>
  </cols>
  <sheetData>
    <row r="2" spans="1:12" ht="25.05" customHeight="1" x14ac:dyDescent="0.3">
      <c r="A2" s="4" t="s">
        <v>0</v>
      </c>
      <c r="B2" s="17" t="s">
        <v>1</v>
      </c>
      <c r="C2" s="14"/>
      <c r="D2" s="14"/>
      <c r="E2" s="14"/>
      <c r="F2" s="14"/>
      <c r="G2" s="14"/>
      <c r="H2" s="15"/>
      <c r="J2" s="5"/>
      <c r="L2" s="6" t="s">
        <v>2</v>
      </c>
    </row>
    <row r="3" spans="1:12" ht="25.05" customHeight="1" x14ac:dyDescent="0.3">
      <c r="A3" s="4" t="s">
        <v>3</v>
      </c>
      <c r="B3" s="17" t="s">
        <v>4</v>
      </c>
      <c r="C3" s="14"/>
      <c r="D3" s="14"/>
      <c r="E3" s="14"/>
      <c r="F3" s="14"/>
      <c r="G3" s="14"/>
      <c r="H3" s="15"/>
      <c r="J3" s="5"/>
      <c r="L3" s="7" t="s">
        <v>5</v>
      </c>
    </row>
    <row r="4" spans="1:12" ht="25.05" customHeight="1" x14ac:dyDescent="0.3">
      <c r="A4" s="4" t="s">
        <v>6</v>
      </c>
      <c r="B4" s="17" t="s">
        <v>7</v>
      </c>
      <c r="C4" s="14"/>
      <c r="D4" s="14"/>
      <c r="E4" s="14"/>
      <c r="F4" s="14"/>
      <c r="G4" s="14"/>
      <c r="H4" s="15"/>
      <c r="J4" s="5"/>
      <c r="L4" s="7" t="s">
        <v>8</v>
      </c>
    </row>
    <row r="5" spans="1:12" ht="25.05" x14ac:dyDescent="0.3">
      <c r="A5" s="8" t="s">
        <v>9</v>
      </c>
      <c r="B5" s="8" t="s">
        <v>10</v>
      </c>
      <c r="C5" s="8" t="s">
        <v>11</v>
      </c>
      <c r="D5" s="8" t="s">
        <v>12</v>
      </c>
      <c r="E5" s="8" t="s">
        <v>13</v>
      </c>
      <c r="F5" s="16" t="s">
        <v>14</v>
      </c>
      <c r="G5" s="14"/>
      <c r="H5" s="15"/>
      <c r="J5" s="5"/>
      <c r="L5" s="7" t="s">
        <v>15</v>
      </c>
    </row>
    <row r="6" spans="1:12" ht="25.05" customHeight="1" x14ac:dyDescent="0.3">
      <c r="A6" s="9">
        <f>COUNTIF(F9:F996,"Passed")</f>
        <v>0</v>
      </c>
      <c r="B6" s="9">
        <f>COUNTIF(F9:F996,"Failed")</f>
        <v>0</v>
      </c>
      <c r="C6" s="9">
        <f>F6-E6-D6-B6-A6</f>
        <v>30</v>
      </c>
      <c r="D6" s="9">
        <f>COUNTIF(F$9:F$996,"Blocked")</f>
        <v>0</v>
      </c>
      <c r="E6" s="9">
        <f>COUNTIF(F$9:F$996,"Skipped")</f>
        <v>0</v>
      </c>
      <c r="F6" s="13">
        <f>COUNTA(A9:A996)</f>
        <v>30</v>
      </c>
      <c r="G6" s="14"/>
      <c r="H6" s="15"/>
      <c r="J6" s="5"/>
      <c r="L6" s="7" t="s">
        <v>210</v>
      </c>
    </row>
    <row r="8" spans="1:12" ht="25.05" customHeight="1" x14ac:dyDescent="0.3">
      <c r="A8" s="10" t="s">
        <v>16</v>
      </c>
      <c r="B8" s="10" t="s">
        <v>17</v>
      </c>
      <c r="C8" s="10" t="s">
        <v>18</v>
      </c>
      <c r="D8" s="10" t="s">
        <v>19</v>
      </c>
      <c r="E8" s="10" t="s">
        <v>20</v>
      </c>
      <c r="F8" s="10" t="s">
        <v>21</v>
      </c>
      <c r="G8" s="10" t="s">
        <v>22</v>
      </c>
      <c r="H8" s="10" t="s">
        <v>23</v>
      </c>
    </row>
    <row r="9" spans="1:12" ht="136.05000000000001" customHeight="1" x14ac:dyDescent="0.3">
      <c r="A9" s="11" t="s">
        <v>24</v>
      </c>
      <c r="B9" s="11" t="s">
        <v>25</v>
      </c>
      <c r="C9" s="11" t="s">
        <v>26</v>
      </c>
      <c r="D9" s="11" t="s">
        <v>27</v>
      </c>
      <c r="E9" s="12"/>
      <c r="F9" s="11"/>
      <c r="G9" s="11"/>
      <c r="H9" s="11"/>
    </row>
    <row r="10" spans="1:12" ht="123.05" customHeight="1" x14ac:dyDescent="0.3">
      <c r="A10" s="11" t="s">
        <v>28</v>
      </c>
      <c r="B10" s="11" t="s">
        <v>29</v>
      </c>
      <c r="C10" s="11" t="s">
        <v>30</v>
      </c>
      <c r="D10" s="11" t="s">
        <v>31</v>
      </c>
      <c r="E10" s="12" t="s">
        <v>24</v>
      </c>
      <c r="F10" s="11"/>
      <c r="G10" s="11"/>
      <c r="H10" s="11" t="s">
        <v>32</v>
      </c>
    </row>
    <row r="11" spans="1:12" ht="123.05" customHeight="1" x14ac:dyDescent="0.3">
      <c r="A11" s="11" t="s">
        <v>33</v>
      </c>
      <c r="B11" s="11" t="s">
        <v>34</v>
      </c>
      <c r="C11" s="11" t="s">
        <v>35</v>
      </c>
      <c r="D11" s="11" t="s">
        <v>36</v>
      </c>
      <c r="E11" s="12"/>
      <c r="F11" s="11"/>
      <c r="G11" s="11"/>
      <c r="H11" s="11" t="s">
        <v>37</v>
      </c>
    </row>
    <row r="12" spans="1:12" ht="110.05" customHeight="1" x14ac:dyDescent="0.3">
      <c r="A12" s="11" t="s">
        <v>38</v>
      </c>
      <c r="B12" s="11" t="s">
        <v>39</v>
      </c>
      <c r="C12" s="11" t="s">
        <v>40</v>
      </c>
      <c r="D12" s="11" t="s">
        <v>41</v>
      </c>
      <c r="E12" s="12"/>
      <c r="F12" s="11"/>
      <c r="G12" s="11"/>
      <c r="H12" s="11" t="s">
        <v>42</v>
      </c>
    </row>
    <row r="13" spans="1:12" ht="110.05" customHeight="1" x14ac:dyDescent="0.3">
      <c r="A13" s="11" t="s">
        <v>43</v>
      </c>
      <c r="B13" s="11" t="s">
        <v>44</v>
      </c>
      <c r="C13" s="11" t="s">
        <v>45</v>
      </c>
      <c r="D13" s="11" t="s">
        <v>46</v>
      </c>
      <c r="E13" s="12"/>
      <c r="F13" s="11"/>
      <c r="G13" s="11"/>
      <c r="H13" s="11"/>
    </row>
    <row r="14" spans="1:12" ht="110.05" customHeight="1" x14ac:dyDescent="0.3">
      <c r="A14" s="11" t="s">
        <v>47</v>
      </c>
      <c r="B14" s="11" t="s">
        <v>48</v>
      </c>
      <c r="C14" s="11" t="s">
        <v>49</v>
      </c>
      <c r="D14" s="11" t="s">
        <v>50</v>
      </c>
      <c r="E14" s="12" t="s">
        <v>24</v>
      </c>
      <c r="F14" s="11"/>
      <c r="G14" s="11"/>
      <c r="H14" s="11"/>
    </row>
    <row r="15" spans="1:12" ht="136.05000000000001" customHeight="1" x14ac:dyDescent="0.3">
      <c r="A15" s="11" t="s">
        <v>51</v>
      </c>
      <c r="B15" s="11" t="s">
        <v>52</v>
      </c>
      <c r="C15" s="11" t="s">
        <v>53</v>
      </c>
      <c r="D15" s="11" t="s">
        <v>54</v>
      </c>
      <c r="E15" s="12" t="s">
        <v>24</v>
      </c>
      <c r="F15" s="11"/>
      <c r="G15" s="11"/>
      <c r="H15" s="11"/>
    </row>
    <row r="16" spans="1:12" ht="136.05000000000001" customHeight="1" x14ac:dyDescent="0.3">
      <c r="A16" s="11" t="s">
        <v>55</v>
      </c>
      <c r="B16" s="11" t="s">
        <v>56</v>
      </c>
      <c r="C16" s="11" t="s">
        <v>57</v>
      </c>
      <c r="D16" s="11" t="s">
        <v>58</v>
      </c>
      <c r="E16" s="12"/>
      <c r="F16" s="11"/>
      <c r="G16" s="11"/>
      <c r="H16" s="11" t="s">
        <v>59</v>
      </c>
    </row>
    <row r="17" spans="1:8" ht="123.05" customHeight="1" x14ac:dyDescent="0.3">
      <c r="A17" s="11" t="s">
        <v>60</v>
      </c>
      <c r="B17" s="11" t="s">
        <v>61</v>
      </c>
      <c r="C17" s="11" t="s">
        <v>62</v>
      </c>
      <c r="D17" s="11" t="s">
        <v>63</v>
      </c>
      <c r="E17" s="12"/>
      <c r="F17" s="11"/>
      <c r="G17" s="11"/>
      <c r="H17" s="11" t="s">
        <v>64</v>
      </c>
    </row>
    <row r="18" spans="1:8" ht="123.05" customHeight="1" x14ac:dyDescent="0.3">
      <c r="A18" s="11" t="s">
        <v>65</v>
      </c>
      <c r="B18" s="11" t="s">
        <v>66</v>
      </c>
      <c r="C18" s="11" t="s">
        <v>67</v>
      </c>
      <c r="D18" s="11" t="s">
        <v>68</v>
      </c>
      <c r="E18" s="12"/>
      <c r="F18" s="11"/>
      <c r="G18" s="11"/>
      <c r="H18" s="11"/>
    </row>
    <row r="19" spans="1:8" ht="110.05" customHeight="1" x14ac:dyDescent="0.3">
      <c r="A19" s="11" t="s">
        <v>69</v>
      </c>
      <c r="B19" s="11" t="s">
        <v>70</v>
      </c>
      <c r="C19" s="11" t="s">
        <v>71</v>
      </c>
      <c r="D19" s="11" t="s">
        <v>72</v>
      </c>
      <c r="E19" s="12"/>
      <c r="F19" s="11"/>
      <c r="G19" s="11"/>
      <c r="H19" s="11" t="s">
        <v>73</v>
      </c>
    </row>
    <row r="20" spans="1:8" ht="97.05" customHeight="1" x14ac:dyDescent="0.3">
      <c r="A20" s="11" t="s">
        <v>74</v>
      </c>
      <c r="B20" s="11" t="s">
        <v>75</v>
      </c>
      <c r="C20" s="11" t="s">
        <v>76</v>
      </c>
      <c r="D20" s="11" t="s">
        <v>77</v>
      </c>
      <c r="E20" s="12" t="s">
        <v>51</v>
      </c>
      <c r="F20" s="11"/>
      <c r="G20" s="11"/>
      <c r="H20" s="11" t="s">
        <v>78</v>
      </c>
    </row>
    <row r="21" spans="1:8" ht="149.05000000000001" customHeight="1" x14ac:dyDescent="0.3">
      <c r="A21" s="11" t="s">
        <v>79</v>
      </c>
      <c r="B21" s="11" t="s">
        <v>80</v>
      </c>
      <c r="C21" s="11" t="s">
        <v>81</v>
      </c>
      <c r="D21" s="11" t="s">
        <v>82</v>
      </c>
      <c r="E21" s="12"/>
      <c r="F21" s="11"/>
      <c r="G21" s="11"/>
      <c r="H21" s="11" t="s">
        <v>83</v>
      </c>
    </row>
    <row r="22" spans="1:8" ht="110.05" customHeight="1" x14ac:dyDescent="0.3">
      <c r="A22" s="11" t="s">
        <v>84</v>
      </c>
      <c r="B22" s="11" t="s">
        <v>85</v>
      </c>
      <c r="C22" s="11" t="s">
        <v>86</v>
      </c>
      <c r="D22" s="11" t="s">
        <v>87</v>
      </c>
      <c r="E22" s="12"/>
      <c r="F22" s="11"/>
      <c r="G22" s="11"/>
      <c r="H22" s="11"/>
    </row>
    <row r="23" spans="1:8" ht="123.05" customHeight="1" x14ac:dyDescent="0.3">
      <c r="A23" s="11" t="s">
        <v>88</v>
      </c>
      <c r="B23" s="11" t="s">
        <v>89</v>
      </c>
      <c r="C23" s="11" t="s">
        <v>90</v>
      </c>
      <c r="D23" s="11" t="s">
        <v>91</v>
      </c>
      <c r="E23" s="12"/>
      <c r="F23" s="11"/>
      <c r="G23" s="11"/>
      <c r="H23" s="11"/>
    </row>
    <row r="24" spans="1:8" ht="110.05" customHeight="1" x14ac:dyDescent="0.3">
      <c r="A24" s="11" t="s">
        <v>92</v>
      </c>
      <c r="B24" s="11" t="s">
        <v>93</v>
      </c>
      <c r="C24" s="11" t="s">
        <v>94</v>
      </c>
      <c r="D24" s="11" t="s">
        <v>95</v>
      </c>
      <c r="E24" s="12" t="s">
        <v>24</v>
      </c>
      <c r="F24" s="11"/>
      <c r="G24" s="11"/>
      <c r="H24" s="11"/>
    </row>
    <row r="25" spans="1:8" ht="97.05" customHeight="1" x14ac:dyDescent="0.3">
      <c r="A25" s="11" t="s">
        <v>96</v>
      </c>
      <c r="B25" s="11" t="s">
        <v>97</v>
      </c>
      <c r="C25" s="11" t="s">
        <v>98</v>
      </c>
      <c r="D25" s="11" t="s">
        <v>99</v>
      </c>
      <c r="E25" s="12" t="s">
        <v>92</v>
      </c>
      <c r="F25" s="11"/>
      <c r="G25" s="11"/>
      <c r="H25" s="11"/>
    </row>
    <row r="26" spans="1:8" ht="123.05" customHeight="1" x14ac:dyDescent="0.3">
      <c r="A26" s="11" t="s">
        <v>100</v>
      </c>
      <c r="B26" s="11" t="s">
        <v>101</v>
      </c>
      <c r="C26" s="11" t="s">
        <v>102</v>
      </c>
      <c r="D26" s="11" t="s">
        <v>103</v>
      </c>
      <c r="E26" s="12" t="s">
        <v>96</v>
      </c>
      <c r="F26" s="11"/>
      <c r="G26" s="11"/>
      <c r="H26" s="11" t="s">
        <v>104</v>
      </c>
    </row>
    <row r="27" spans="1:8" ht="136.05000000000001" customHeight="1" x14ac:dyDescent="0.3">
      <c r="A27" s="11" t="s">
        <v>105</v>
      </c>
      <c r="B27" s="11" t="s">
        <v>106</v>
      </c>
      <c r="C27" s="11" t="s">
        <v>107</v>
      </c>
      <c r="D27" s="11" t="s">
        <v>108</v>
      </c>
      <c r="E27" s="12" t="s">
        <v>92</v>
      </c>
      <c r="F27" s="11"/>
      <c r="G27" s="11"/>
      <c r="H27" s="11" t="s">
        <v>109</v>
      </c>
    </row>
    <row r="28" spans="1:8" ht="136.05000000000001" customHeight="1" x14ac:dyDescent="0.3">
      <c r="A28" s="11" t="s">
        <v>110</v>
      </c>
      <c r="B28" s="11" t="s">
        <v>111</v>
      </c>
      <c r="C28" s="11" t="s">
        <v>112</v>
      </c>
      <c r="D28" s="11" t="s">
        <v>113</v>
      </c>
      <c r="E28" s="12" t="s">
        <v>92</v>
      </c>
      <c r="F28" s="11"/>
      <c r="G28" s="11"/>
      <c r="H28" s="11" t="s">
        <v>114</v>
      </c>
    </row>
    <row r="29" spans="1:8" ht="123.05" customHeight="1" x14ac:dyDescent="0.3">
      <c r="A29" s="11" t="s">
        <v>115</v>
      </c>
      <c r="B29" s="11" t="s">
        <v>116</v>
      </c>
      <c r="C29" s="11" t="s">
        <v>117</v>
      </c>
      <c r="D29" s="11" t="s">
        <v>118</v>
      </c>
      <c r="E29" s="12" t="s">
        <v>51</v>
      </c>
      <c r="F29" s="11"/>
      <c r="G29" s="11"/>
      <c r="H29" s="11" t="s">
        <v>119</v>
      </c>
    </row>
    <row r="30" spans="1:8" ht="123.05" customHeight="1" x14ac:dyDescent="0.3">
      <c r="A30" s="11" t="s">
        <v>120</v>
      </c>
      <c r="B30" s="11" t="s">
        <v>121</v>
      </c>
      <c r="C30" s="11" t="s">
        <v>122</v>
      </c>
      <c r="D30" s="11" t="s">
        <v>123</v>
      </c>
      <c r="E30" s="12" t="s">
        <v>51</v>
      </c>
      <c r="F30" s="11"/>
      <c r="G30" s="11"/>
      <c r="H30" s="11" t="s">
        <v>124</v>
      </c>
    </row>
    <row r="31" spans="1:8" ht="97.05" customHeight="1" x14ac:dyDescent="0.3">
      <c r="A31" s="11" t="s">
        <v>125</v>
      </c>
      <c r="B31" s="11" t="s">
        <v>126</v>
      </c>
      <c r="C31" s="11" t="s">
        <v>127</v>
      </c>
      <c r="D31" s="11" t="s">
        <v>128</v>
      </c>
      <c r="E31" s="12" t="s">
        <v>47</v>
      </c>
      <c r="F31" s="11"/>
      <c r="G31" s="11"/>
      <c r="H31" s="11" t="s">
        <v>129</v>
      </c>
    </row>
    <row r="32" spans="1:8" ht="123.05" customHeight="1" x14ac:dyDescent="0.3">
      <c r="A32" s="11" t="s">
        <v>130</v>
      </c>
      <c r="B32" s="11" t="s">
        <v>131</v>
      </c>
      <c r="C32" s="11" t="s">
        <v>132</v>
      </c>
      <c r="D32" s="11" t="s">
        <v>133</v>
      </c>
      <c r="E32" s="12"/>
      <c r="F32" s="11"/>
      <c r="G32" s="11"/>
      <c r="H32" s="11" t="s">
        <v>134</v>
      </c>
    </row>
    <row r="33" spans="1:8" ht="110.05" customHeight="1" x14ac:dyDescent="0.3">
      <c r="A33" s="11" t="s">
        <v>135</v>
      </c>
      <c r="B33" s="11" t="s">
        <v>136</v>
      </c>
      <c r="C33" s="11" t="s">
        <v>137</v>
      </c>
      <c r="D33" s="11" t="s">
        <v>138</v>
      </c>
      <c r="E33" s="12" t="s">
        <v>24</v>
      </c>
      <c r="F33" s="11"/>
      <c r="G33" s="11"/>
      <c r="H33" s="11" t="s">
        <v>139</v>
      </c>
    </row>
    <row r="34" spans="1:8" ht="149.05000000000001" customHeight="1" x14ac:dyDescent="0.3">
      <c r="A34" s="11" t="s">
        <v>140</v>
      </c>
      <c r="B34" s="11" t="s">
        <v>141</v>
      </c>
      <c r="C34" s="11" t="s">
        <v>142</v>
      </c>
      <c r="D34" s="11" t="s">
        <v>143</v>
      </c>
      <c r="E34" s="12" t="s">
        <v>60</v>
      </c>
      <c r="F34" s="11"/>
      <c r="G34" s="11"/>
      <c r="H34" s="11" t="s">
        <v>144</v>
      </c>
    </row>
    <row r="35" spans="1:8" ht="110.05" customHeight="1" x14ac:dyDescent="0.3">
      <c r="A35" s="11" t="s">
        <v>145</v>
      </c>
      <c r="B35" s="11" t="s">
        <v>146</v>
      </c>
      <c r="C35" s="11" t="s">
        <v>147</v>
      </c>
      <c r="D35" s="11" t="s">
        <v>148</v>
      </c>
      <c r="E35" s="12" t="s">
        <v>47</v>
      </c>
      <c r="F35" s="11"/>
      <c r="G35" s="11"/>
      <c r="H35" s="11" t="s">
        <v>149</v>
      </c>
    </row>
    <row r="36" spans="1:8" ht="123.05" customHeight="1" x14ac:dyDescent="0.3">
      <c r="A36" s="11" t="s">
        <v>150</v>
      </c>
      <c r="B36" s="11" t="s">
        <v>151</v>
      </c>
      <c r="C36" s="11" t="s">
        <v>152</v>
      </c>
      <c r="D36" s="11" t="s">
        <v>153</v>
      </c>
      <c r="E36" s="12" t="s">
        <v>43</v>
      </c>
      <c r="F36" s="11"/>
      <c r="G36" s="11"/>
      <c r="H36" s="11" t="s">
        <v>154</v>
      </c>
    </row>
    <row r="37" spans="1:8" ht="123.05" customHeight="1" x14ac:dyDescent="0.3">
      <c r="A37" s="11" t="s">
        <v>155</v>
      </c>
      <c r="B37" s="11" t="s">
        <v>156</v>
      </c>
      <c r="C37" s="11" t="s">
        <v>157</v>
      </c>
      <c r="D37" s="11" t="s">
        <v>158</v>
      </c>
      <c r="E37" s="12" t="s">
        <v>51</v>
      </c>
      <c r="F37" s="11"/>
      <c r="G37" s="11"/>
      <c r="H37" s="11"/>
    </row>
    <row r="38" spans="1:8" ht="97.05" customHeight="1" x14ac:dyDescent="0.3">
      <c r="A38" s="11" t="s">
        <v>159</v>
      </c>
      <c r="B38" s="11" t="s">
        <v>160</v>
      </c>
      <c r="C38" s="11" t="s">
        <v>161</v>
      </c>
      <c r="D38" s="11" t="s">
        <v>162</v>
      </c>
      <c r="E38" s="12" t="s">
        <v>47</v>
      </c>
      <c r="F38" s="11"/>
      <c r="G38" s="11"/>
      <c r="H38" s="11" t="s">
        <v>163</v>
      </c>
    </row>
  </sheetData>
  <mergeCells count="5">
    <mergeCell ref="F6:H6"/>
    <mergeCell ref="F5:H5"/>
    <mergeCell ref="B4:H4"/>
    <mergeCell ref="B2:H2"/>
    <mergeCell ref="B3:H3"/>
  </mergeCells>
  <conditionalFormatting sqref="F9:F996">
    <cfRule type="cellIs" dxfId="3" priority="1" operator="equal">
      <formula>"Passed"</formula>
    </cfRule>
    <cfRule type="cellIs" dxfId="2" priority="2" operator="equal">
      <formula>"Failed"</formula>
    </cfRule>
    <cfRule type="cellIs" dxfId="1" priority="3" operator="equal">
      <formula>"Blocked"</formula>
    </cfRule>
    <cfRule type="cellIs" dxfId="0" priority="4" operator="equal">
      <formula>"Skipped"</formula>
    </cfRule>
  </conditionalFormatting>
  <dataValidations count="1">
    <dataValidation type="list" allowBlank="1" sqref="F9:F996" xr:uid="{00000000-0002-0000-0100-000000000000}">
      <formula1>$J$2:$J$6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TestDesign</vt:lpstr>
      <vt:lpstr>Giỏ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Thị Mỹ Trâm</cp:lastModifiedBy>
  <dcterms:created xsi:type="dcterms:W3CDTF">2026-10-20T16:58:13Z</dcterms:created>
  <dcterms:modified xsi:type="dcterms:W3CDTF">2026-10-21T08:44:17Z</dcterms:modified>
</cp:coreProperties>
</file>