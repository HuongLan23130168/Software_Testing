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estDesign" sheetId="1" state="visible" r:id="rId1"/>
    <sheet xmlns:r="http://schemas.openxmlformats.org/officeDocument/2006/relationships" name="Danh sach sp theo danh muc" sheetId="2" state="visible" r:id="rId2"/>
  </sheets>
  <definedNames>
    <definedName name="ACTION" hidden="0" function="0" vbProcedure="0">#REF!</definedName>
    <definedName name="LOCAL_DATE_SEPARATOR" hidden="0" function="0" vbProcedure="0">#REF!</definedName>
    <definedName name="LOCAL_DAY_FORMAT" hidden="0" function="0" vbProcedure="0">#REF!</definedName>
    <definedName name="LOCAL_HOUR_FORMAT" hidden="0" function="0" vbProcedure="0">#REF!</definedName>
    <definedName name="LOCAL_MINUTE_FORMAT" hidden="0" function="0" vbProcedure="0">#REF!</definedName>
    <definedName name="LOCAL_MONTH_FORMAT" hidden="0" function="0" vbProcedure="0">#REF!</definedName>
    <definedName name="LOCAL_SECOND_FORMAT" hidden="0" function="0" vbProcedure="0">#REF!</definedName>
    <definedName name="LOCAL_TIME_SEPARATOR" hidden="0" function="0" vbProcedure="0">#REF!</definedName>
    <definedName name="LOCAL_YEAR_FORMAT" hidden="0" function="0" vbProcedure="0">#REF!</definedName>
    <definedName name="_Toc301930468" localSheetId="0" hidden="0" function="0" vbProcedure="0">TestDesign!$B$216</definedName>
    <definedName name="_Toc301930478" localSheetId="0" hidden="0" function="0" vbProcedure="0">TestDesign!$B$376</definedName>
    <definedName name="_xlnm._FilterDatabase" localSheetId="0" hidden="1">'TestDesign'!$A$1:$F$867</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19">
    <font>
      <name val="Calibri"/>
      <charset val="1"/>
      <family val="2"/>
      <color theme="1"/>
      <sz val="11"/>
    </font>
    <font>
      <name val="Arial"/>
      <family val="0"/>
      <sz val="10"/>
    </font>
    <font>
      <name val="Arial"/>
      <family val="0"/>
      <sz val="10"/>
    </font>
    <font>
      <name val="Arial"/>
      <family val="0"/>
      <sz val="10"/>
    </font>
    <font>
      <name val="Calibri"/>
      <charset val="1"/>
      <family val="0"/>
      <color rgb="FF000000"/>
      <sz val="11"/>
    </font>
    <font>
      <name val="Arial"/>
      <charset val="1"/>
      <family val="0"/>
      <b val="1"/>
      <color theme="1"/>
      <sz val="10"/>
    </font>
    <font>
      <name val="Calibri"/>
      <charset val="1"/>
      <family val="0"/>
      <b val="1"/>
      <color theme="1"/>
      <sz val="10"/>
    </font>
    <font>
      <name val="Arial"/>
      <charset val="1"/>
      <family val="0"/>
      <color theme="1"/>
      <sz val="10"/>
    </font>
    <font>
      <name val="Tahoma"/>
      <charset val="1"/>
      <family val="0"/>
      <color rgb="FF000000"/>
      <sz val="10"/>
    </font>
    <font>
      <name val="Tahoma"/>
      <charset val="1"/>
      <family val="0"/>
      <color theme="1"/>
      <sz val="10"/>
    </font>
    <font>
      <name val="Tahoma"/>
      <charset val="1"/>
      <family val="0"/>
      <b val="1"/>
      <color theme="1"/>
      <sz val="10"/>
    </font>
    <font>
      <name val="Tahoma"/>
      <charset val="1"/>
      <family val="0"/>
      <color rgb="FFFF0000"/>
      <sz val="10"/>
    </font>
    <font>
      <name val="Tahoma"/>
      <charset val="1"/>
      <family val="2"/>
      <i val="1"/>
      <color rgb="FF008000"/>
      <sz val="10"/>
    </font>
    <font>
      <name val="Tahoma"/>
      <charset val="1"/>
      <family val="0"/>
      <i val="1"/>
      <color rgb="FF008000"/>
      <sz val="10"/>
    </font>
    <font>
      <name val="Tahoma"/>
      <charset val="1"/>
      <family val="0"/>
      <b val="1"/>
      <color rgb="FF000000"/>
      <sz val="10"/>
    </font>
    <font>
      <name val="Tahoma"/>
      <charset val="1"/>
      <family val="0"/>
      <b val="1"/>
      <color rgb="FFFFFFFF"/>
      <sz val="10"/>
    </font>
    <font>
      <name val="Tahoma"/>
      <charset val="1"/>
      <family val="0"/>
      <b val="1"/>
      <color rgb="FFFF0000"/>
      <sz val="10"/>
    </font>
    <font>
      <name val="Calibri"/>
      <charset val="1"/>
      <family val="0"/>
      <color theme="1"/>
      <sz val="10"/>
    </font>
    <font>
      <name val="Arial"/>
      <family val="2"/>
      <sz val="10"/>
    </font>
  </fonts>
  <fills count="5">
    <fill>
      <patternFill/>
    </fill>
    <fill>
      <patternFill patternType="gray125"/>
    </fill>
    <fill>
      <patternFill patternType="solid">
        <fgColor rgb="FF00CCFF"/>
        <bgColor rgb="FF33CCCC"/>
      </patternFill>
    </fill>
    <fill>
      <patternFill patternType="solid">
        <fgColor rgb="FFFFFFFF"/>
        <bgColor rgb="FFFFFFCC"/>
      </patternFill>
    </fill>
    <fill>
      <patternFill patternType="solid">
        <fgColor rgb="FF000080"/>
        <bgColor rgb="FF000080"/>
      </patternFill>
    </fill>
  </fills>
  <borders count="15">
    <border>
      <left/>
      <right/>
      <top/>
      <bottom/>
      <diagonal/>
    </border>
    <border>
      <left style="hair"/>
      <right style="hair"/>
      <top style="hair"/>
      <bottom style="hair"/>
      <diagonal/>
    </border>
    <border>
      <left/>
      <right/>
      <top/>
      <bottom style="medium"/>
      <diagonal/>
    </border>
    <border>
      <left style="medium"/>
      <right/>
      <top/>
      <bottom style="thin"/>
      <diagonal/>
    </border>
    <border>
      <left style="thin"/>
      <right style="thin"/>
      <top style="thin"/>
      <bottom style="thin"/>
      <diagonal/>
    </border>
    <border>
      <left style="medium"/>
      <right/>
      <top style="thin"/>
      <bottom style="thin"/>
      <diagonal/>
    </border>
    <border>
      <left style="medium"/>
      <right/>
      <top style="thin"/>
      <bottom style="medium"/>
      <diagonal/>
    </border>
    <border>
      <left/>
      <right style="thin"/>
      <top/>
      <bottom style="thin"/>
      <diagonal/>
    </border>
    <border>
      <left style="thin"/>
      <right style="thin"/>
      <top/>
      <bottom style="thin"/>
      <diagonal/>
    </border>
    <border>
      <left style="thin"/>
      <right style="thin"/>
      <top/>
      <bottom/>
      <diagonal/>
    </border>
    <border>
      <left style="thin"/>
      <right/>
      <top/>
      <bottom style="thin"/>
      <diagonal/>
    </border>
    <border>
      <left/>
      <right style="thin"/>
      <top style="thin"/>
      <bottom style="thin"/>
      <diagonal/>
    </border>
    <border>
      <left/>
      <right/>
      <top style="thin"/>
      <bottom/>
      <diagonal/>
    </border>
    <border>
      <left/>
      <right style="thin"/>
      <top style="thin"/>
      <bottom/>
      <diagonal/>
    </border>
    <border>
      <left/>
      <right/>
      <top style="thin"/>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cellStyleXfs>
  <cellXfs count="80">
    <xf numFmtId="0" fontId="0" fillId="0" borderId="0" applyAlignment="1" pivotButton="0" quotePrefix="0" xfId="0">
      <alignment horizontal="general" vertical="bottom"/>
    </xf>
    <xf numFmtId="0" fontId="4" fillId="0" borderId="0" applyAlignment="1" pivotButton="0" quotePrefix="0" xfId="20">
      <alignment horizontal="general" vertical="bottom"/>
    </xf>
    <xf numFmtId="0" fontId="5" fillId="2" borderId="1" applyAlignment="1" pivotButton="0" quotePrefix="0" xfId="20">
      <alignment horizontal="center" vertical="center" wrapText="1"/>
    </xf>
    <xf numFmtId="0" fontId="6" fillId="0" borderId="0" applyAlignment="1" pivotButton="0" quotePrefix="0" xfId="20">
      <alignment horizontal="center" vertical="center"/>
    </xf>
    <xf numFmtId="0" fontId="7" fillId="0" borderId="1" applyAlignment="1" pivotButton="0" quotePrefix="0" xfId="20">
      <alignment horizontal="left" vertical="center" wrapText="1"/>
    </xf>
    <xf numFmtId="0" fontId="7" fillId="0" borderId="1" applyAlignment="1" pivotButton="0" quotePrefix="0" xfId="20">
      <alignment horizontal="general" vertical="center" wrapText="1"/>
    </xf>
    <xf numFmtId="0" fontId="8" fillId="3" borderId="2" applyAlignment="1" pivotButton="0" quotePrefix="0" xfId="20">
      <alignment horizontal="general" vertical="bottom"/>
    </xf>
    <xf numFmtId="0" fontId="8" fillId="3" borderId="0" applyAlignment="1" pivotButton="0" quotePrefix="0" xfId="20">
      <alignment horizontal="general" vertical="bottom" wrapText="1"/>
    </xf>
    <xf numFmtId="0" fontId="9" fillId="3" borderId="0" applyAlignment="1" pivotButton="0" quotePrefix="0" xfId="20">
      <alignment horizontal="general" vertical="bottom" wrapText="1"/>
    </xf>
    <xf numFmtId="0" fontId="10" fillId="3" borderId="0" applyAlignment="1" pivotButton="0" quotePrefix="0" xfId="20">
      <alignment horizontal="general" vertical="bottom" wrapText="1"/>
    </xf>
    <xf numFmtId="0" fontId="11" fillId="3" borderId="0" applyAlignment="1" pivotButton="0" quotePrefix="0" xfId="20">
      <alignment horizontal="general" vertical="bottom" wrapText="1"/>
    </xf>
    <xf numFmtId="0" fontId="8" fillId="3" borderId="0" applyAlignment="1" pivotButton="0" quotePrefix="0" xfId="20">
      <alignment horizontal="general" vertical="bottom"/>
    </xf>
    <xf numFmtId="0" fontId="10" fillId="3" borderId="3" applyAlignment="1" pivotButton="0" quotePrefix="0" xfId="20">
      <alignment horizontal="left" vertical="bottom" wrapText="1"/>
    </xf>
    <xf numFmtId="0" fontId="12" fillId="3" borderId="4" applyAlignment="1" pivotButton="0" quotePrefix="0" xfId="20">
      <alignment horizontal="left" vertical="center" wrapText="1"/>
    </xf>
    <xf numFmtId="0" fontId="10" fillId="3" borderId="5" applyAlignment="1" pivotButton="0" quotePrefix="0" xfId="20">
      <alignment horizontal="left" vertical="bottom" wrapText="1"/>
    </xf>
    <xf numFmtId="0" fontId="13" fillId="3" borderId="4" applyAlignment="1" pivotButton="0" quotePrefix="0" xfId="20">
      <alignment horizontal="left" vertical="center" wrapText="1"/>
    </xf>
    <xf numFmtId="0" fontId="14" fillId="3" borderId="5" applyAlignment="1" pivotButton="0" quotePrefix="0" xfId="20">
      <alignment horizontal="center" vertical="center"/>
    </xf>
    <xf numFmtId="0" fontId="14" fillId="3" borderId="4" applyAlignment="1" pivotButton="0" quotePrefix="0" xfId="20">
      <alignment horizontal="center" vertical="center" wrapText="1"/>
    </xf>
    <xf numFmtId="0" fontId="14" fillId="3" borderId="4" applyAlignment="1" pivotButton="0" quotePrefix="0" xfId="20">
      <alignment horizontal="general" vertical="center" wrapText="1"/>
    </xf>
    <xf numFmtId="0" fontId="11" fillId="3" borderId="0" applyAlignment="1" pivotButton="0" quotePrefix="0" xfId="20">
      <alignment horizontal="center" vertical="bottom" wrapText="1"/>
    </xf>
    <xf numFmtId="0" fontId="8" fillId="3" borderId="6" applyAlignment="1" pivotButton="0" quotePrefix="0" xfId="20">
      <alignment horizontal="center" vertical="center"/>
    </xf>
    <xf numFmtId="0" fontId="8" fillId="3" borderId="4" applyAlignment="1" pivotButton="0" quotePrefix="0" xfId="20">
      <alignment horizontal="center" vertical="center"/>
    </xf>
    <xf numFmtId="0" fontId="8" fillId="3" borderId="4" applyAlignment="1" pivotButton="0" quotePrefix="0" xfId="20">
      <alignment horizontal="general" vertical="center" wrapText="1"/>
    </xf>
    <xf numFmtId="0" fontId="8" fillId="3" borderId="4" applyAlignment="1" pivotButton="0" quotePrefix="0" xfId="20">
      <alignment horizontal="center" vertical="center" wrapText="1"/>
    </xf>
    <xf numFmtId="0" fontId="8" fillId="3" borderId="0" applyAlignment="1" pivotButton="0" quotePrefix="0" xfId="20">
      <alignment horizontal="center" vertical="bottom" wrapText="1"/>
    </xf>
    <xf numFmtId="0" fontId="9" fillId="3" borderId="0" applyAlignment="1" pivotButton="0" quotePrefix="0" xfId="20">
      <alignment horizontal="center" vertical="bottom" wrapText="1"/>
    </xf>
    <xf numFmtId="0" fontId="15" fillId="4" borderId="7" applyAlignment="1" pivotButton="0" quotePrefix="0" xfId="20">
      <alignment horizontal="center" vertical="center" wrapText="1"/>
    </xf>
    <xf numFmtId="0" fontId="15" fillId="4" borderId="8" applyAlignment="1" pivotButton="0" quotePrefix="0" xfId="20">
      <alignment horizontal="center" vertical="center" wrapText="1"/>
    </xf>
    <xf numFmtId="0" fontId="15" fillId="4" borderId="9" applyAlignment="1" pivotButton="0" quotePrefix="0" xfId="20">
      <alignment horizontal="center" vertical="center" wrapText="1"/>
    </xf>
    <xf numFmtId="0" fontId="15" fillId="4" borderId="10" applyAlignment="1" pivotButton="0" quotePrefix="0" xfId="20">
      <alignment horizontal="center" vertical="center" wrapText="1"/>
    </xf>
    <xf numFmtId="0" fontId="16" fillId="3" borderId="0" applyAlignment="1" pivotButton="0" quotePrefix="0" xfId="20">
      <alignment horizontal="center" vertical="center" wrapText="1"/>
    </xf>
    <xf numFmtId="0" fontId="9" fillId="3" borderId="11" applyAlignment="1" pivotButton="0" quotePrefix="0" xfId="20">
      <alignment horizontal="general" vertical="top" wrapText="1"/>
    </xf>
    <xf numFmtId="0" fontId="17" fillId="0" borderId="4" applyAlignment="1" pivotButton="0" quotePrefix="0" xfId="20">
      <alignment horizontal="left" vertical="top" wrapText="1"/>
    </xf>
    <xf numFmtId="0" fontId="9" fillId="3" borderId="4" applyAlignment="1" pivotButton="0" quotePrefix="0" xfId="20">
      <alignment horizontal="general" vertical="top" wrapText="1"/>
    </xf>
    <xf numFmtId="164" fontId="9" fillId="3" borderId="4" applyAlignment="1" pivotButton="0" quotePrefix="0" xfId="20">
      <alignment horizontal="general" vertical="top" wrapText="1"/>
    </xf>
    <xf numFmtId="0" fontId="9" fillId="3" borderId="11" applyAlignment="1" pivotButton="0" quotePrefix="0" xfId="0">
      <alignment horizontal="general" vertical="top" wrapText="1"/>
    </xf>
    <xf numFmtId="0" fontId="17" fillId="0" borderId="4" applyAlignment="1" pivotButton="0" quotePrefix="0" xfId="0">
      <alignment horizontal="left" vertical="top" wrapText="1"/>
    </xf>
    <xf numFmtId="0" fontId="9" fillId="3" borderId="4" applyAlignment="1" pivotButton="0" quotePrefix="0" xfId="0">
      <alignment horizontal="general" vertical="top" wrapText="1"/>
    </xf>
    <xf numFmtId="164" fontId="9" fillId="3" borderId="4" applyAlignment="1" pivotButton="0" quotePrefix="0" xfId="0">
      <alignment horizontal="general" vertical="top" wrapText="1"/>
    </xf>
    <xf numFmtId="0" fontId="4" fillId="0" borderId="0" applyAlignment="1" pivotButton="0" quotePrefix="0" xfId="20">
      <alignment horizontal="general" vertical="bottom"/>
    </xf>
    <xf numFmtId="0" fontId="0" fillId="0" borderId="0" pivotButton="0" quotePrefix="0" xfId="0"/>
    <xf numFmtId="0" fontId="5" fillId="2" borderId="1" applyAlignment="1" pivotButton="0" quotePrefix="0" xfId="20">
      <alignment horizontal="center" vertical="center" wrapText="1"/>
    </xf>
    <xf numFmtId="0" fontId="6" fillId="0" borderId="0" applyAlignment="1" pivotButton="0" quotePrefix="0" xfId="20">
      <alignment horizontal="center" vertical="center"/>
    </xf>
    <xf numFmtId="0" fontId="7" fillId="0" borderId="1" applyAlignment="1" pivotButton="0" quotePrefix="0" xfId="20">
      <alignment horizontal="left" vertical="center" wrapText="1"/>
    </xf>
    <xf numFmtId="0" fontId="7" fillId="0" borderId="1" applyAlignment="1" pivotButton="0" quotePrefix="0" xfId="20">
      <alignment horizontal="general" vertical="center" wrapText="1"/>
    </xf>
    <xf numFmtId="0" fontId="8" fillId="3" borderId="2" applyAlignment="1" pivotButton="0" quotePrefix="0" xfId="20">
      <alignment horizontal="general" vertical="bottom"/>
    </xf>
    <xf numFmtId="0" fontId="8" fillId="3" borderId="0" applyAlignment="1" pivotButton="0" quotePrefix="0" xfId="20">
      <alignment horizontal="general" vertical="bottom" wrapText="1"/>
    </xf>
    <xf numFmtId="0" fontId="9" fillId="3" borderId="0" applyAlignment="1" pivotButton="0" quotePrefix="0" xfId="20">
      <alignment horizontal="general" vertical="bottom" wrapText="1"/>
    </xf>
    <xf numFmtId="0" fontId="10" fillId="3" borderId="0" applyAlignment="1" pivotButton="0" quotePrefix="0" xfId="20">
      <alignment horizontal="general" vertical="bottom" wrapText="1"/>
    </xf>
    <xf numFmtId="0" fontId="11" fillId="3" borderId="0" applyAlignment="1" pivotButton="0" quotePrefix="0" xfId="20">
      <alignment horizontal="general" vertical="bottom" wrapText="1"/>
    </xf>
    <xf numFmtId="0" fontId="8" fillId="3" borderId="0" applyAlignment="1" pivotButton="0" quotePrefix="0" xfId="20">
      <alignment horizontal="general" vertical="bottom"/>
    </xf>
    <xf numFmtId="0" fontId="10" fillId="3" borderId="3" applyAlignment="1" pivotButton="0" quotePrefix="0" xfId="20">
      <alignment horizontal="left" vertical="bottom" wrapText="1"/>
    </xf>
    <xf numFmtId="0" fontId="12" fillId="3" borderId="4" applyAlignment="1" pivotButton="0" quotePrefix="0" xfId="20">
      <alignment horizontal="left" vertical="center" wrapText="1"/>
    </xf>
    <xf numFmtId="0" fontId="0" fillId="0" borderId="14" pivotButton="0" quotePrefix="0" xfId="0"/>
    <xf numFmtId="0" fontId="0" fillId="0" borderId="11" pivotButton="0" quotePrefix="0" xfId="0"/>
    <xf numFmtId="0" fontId="10" fillId="3" borderId="5" applyAlignment="1" pivotButton="0" quotePrefix="0" xfId="20">
      <alignment horizontal="left" vertical="bottom" wrapText="1"/>
    </xf>
    <xf numFmtId="0" fontId="13" fillId="3" borderId="4" applyAlignment="1" pivotButton="0" quotePrefix="0" xfId="20">
      <alignment horizontal="left" vertical="center" wrapText="1"/>
    </xf>
    <xf numFmtId="0" fontId="14" fillId="3" borderId="5" applyAlignment="1" pivotButton="0" quotePrefix="0" xfId="20">
      <alignment horizontal="center" vertical="center"/>
    </xf>
    <xf numFmtId="0" fontId="14" fillId="3" borderId="4" applyAlignment="1" pivotButton="0" quotePrefix="0" xfId="20">
      <alignment horizontal="center" vertical="center" wrapText="1"/>
    </xf>
    <xf numFmtId="0" fontId="14" fillId="3" borderId="4" applyAlignment="1" pivotButton="0" quotePrefix="0" xfId="20">
      <alignment horizontal="general" vertical="center" wrapText="1"/>
    </xf>
    <xf numFmtId="0" fontId="11" fillId="3" borderId="0" applyAlignment="1" pivotButton="0" quotePrefix="0" xfId="20">
      <alignment horizontal="center" vertical="bottom" wrapText="1"/>
    </xf>
    <xf numFmtId="0" fontId="8" fillId="3" borderId="6" applyAlignment="1" pivotButton="0" quotePrefix="0" xfId="20">
      <alignment horizontal="center" vertical="center"/>
    </xf>
    <xf numFmtId="0" fontId="8" fillId="3" borderId="4" applyAlignment="1" pivotButton="0" quotePrefix="0" xfId="20">
      <alignment horizontal="center" vertical="center"/>
    </xf>
    <xf numFmtId="0" fontId="8" fillId="3" borderId="4" applyAlignment="1" pivotButton="0" quotePrefix="0" xfId="20">
      <alignment horizontal="general" vertical="center" wrapText="1"/>
    </xf>
    <xf numFmtId="0" fontId="8" fillId="3" borderId="4" applyAlignment="1" pivotButton="0" quotePrefix="0" xfId="20">
      <alignment horizontal="center" vertical="center" wrapText="1"/>
    </xf>
    <xf numFmtId="0" fontId="8" fillId="3" borderId="0" applyAlignment="1" pivotButton="0" quotePrefix="0" xfId="20">
      <alignment horizontal="center" vertical="bottom" wrapText="1"/>
    </xf>
    <xf numFmtId="0" fontId="9" fillId="3" borderId="0" applyAlignment="1" pivotButton="0" quotePrefix="0" xfId="20">
      <alignment horizontal="center" vertical="bottom" wrapText="1"/>
    </xf>
    <xf numFmtId="0" fontId="15" fillId="4" borderId="7" applyAlignment="1" pivotButton="0" quotePrefix="0" xfId="20">
      <alignment horizontal="center" vertical="center" wrapText="1"/>
    </xf>
    <xf numFmtId="0" fontId="15" fillId="4" borderId="8" applyAlignment="1" pivotButton="0" quotePrefix="0" xfId="20">
      <alignment horizontal="center" vertical="center" wrapText="1"/>
    </xf>
    <xf numFmtId="0" fontId="15" fillId="4" borderId="9" applyAlignment="1" pivotButton="0" quotePrefix="0" xfId="20">
      <alignment horizontal="center" vertical="center" wrapText="1"/>
    </xf>
    <xf numFmtId="0" fontId="15" fillId="4" borderId="10" applyAlignment="1" pivotButton="0" quotePrefix="0" xfId="20">
      <alignment horizontal="center" vertical="center" wrapText="1"/>
    </xf>
    <xf numFmtId="0" fontId="16" fillId="3" borderId="0" applyAlignment="1" pivotButton="0" quotePrefix="0" xfId="20">
      <alignment horizontal="center" vertical="center" wrapText="1"/>
    </xf>
    <xf numFmtId="0" fontId="9" fillId="3" borderId="11" applyAlignment="1" pivotButton="0" quotePrefix="0" xfId="20">
      <alignment horizontal="general" vertical="top" wrapText="1"/>
    </xf>
    <xf numFmtId="0" fontId="17" fillId="0" borderId="4" applyAlignment="1" pivotButton="0" quotePrefix="0" xfId="20">
      <alignment horizontal="left" vertical="top" wrapText="1"/>
    </xf>
    <xf numFmtId="0" fontId="9" fillId="3" borderId="4" applyAlignment="1" pivotButton="0" quotePrefix="0" xfId="20">
      <alignment horizontal="general" vertical="top" wrapText="1"/>
    </xf>
    <xf numFmtId="164" fontId="9" fillId="3" borderId="4" applyAlignment="1" pivotButton="0" quotePrefix="0" xfId="20">
      <alignment horizontal="general" vertical="top" wrapText="1"/>
    </xf>
    <xf numFmtId="0" fontId="9" fillId="3" borderId="11" applyAlignment="1" pivotButton="0" quotePrefix="0" xfId="0">
      <alignment horizontal="general" vertical="top" wrapText="1"/>
    </xf>
    <xf numFmtId="0" fontId="17" fillId="0" borderId="4" applyAlignment="1" pivotButton="0" quotePrefix="0" xfId="0">
      <alignment horizontal="left" vertical="top" wrapText="1"/>
    </xf>
    <xf numFmtId="0" fontId="9" fillId="3" borderId="4" applyAlignment="1" pivotButton="0" quotePrefix="0" xfId="0">
      <alignment horizontal="general" vertical="top" wrapText="1"/>
    </xf>
    <xf numFmtId="164" fontId="9" fillId="3" borderId="4" applyAlignment="1" pivotButton="0" quotePrefix="0" xfId="0">
      <alignment horizontal="general"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Normal 2" xfId="6"/>
  </cellStyles>
  <dxfs count="5">
    <dxf>
      <fill>
        <patternFill patternType="solid">
          <fgColor rgb="FF00CCFF"/>
          <bgColor rgb="FF000000"/>
        </patternFill>
      </fill>
    </dxf>
    <dxf>
      <fill>
        <patternFill patternType="solid">
          <bgColor rgb="FF000000"/>
        </patternFill>
      </fill>
    </dxf>
    <dxf>
      <fill>
        <patternFill patternType="solid">
          <fgColor rgb="FF000000"/>
          <bgColor rgb="FF000000"/>
        </patternFill>
      </fill>
    </dxf>
    <dxf>
      <fill>
        <patternFill patternType="solid">
          <fgColor rgb="FF000080"/>
          <bgColor rgb="FF000000"/>
        </patternFill>
      </fill>
    </dxf>
    <dxf>
      <fill>
        <patternFill patternType="solid">
          <fgColor rgb="FFFFFFFF"/>
          <bgColor rgb="FF00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Unknown Author</author>
  </authors>
  <commentList>
    <comment ref="F8" authorId="0" shapeId="0">
      <text>
        <t>======
ID#AAAAHWfBFy8
    (2020-11-28 06:09:48)
Pass
Fail
Untested
N/A</t>
      </text>
    </comment>
  </commentList>
</comments>
</file>

<file path=xl/tables/table1.xml><?xml version="1.0" encoding="utf-8"?>
<table xmlns="http://schemas.openxmlformats.org/spreadsheetml/2006/main" id="1" name="Table_2" displayName="Table_2" ref="A8:H17" headerRowCount="1" totalsRowCount="0" totalsRowShown="0">
  <tableColumns count="8">
    <tableColumn id="1" name="ID"/>
    <tableColumn id="2" name="Test Case Description"/>
    <tableColumn id="3" name="Test Case Procedure"/>
    <tableColumn id="4" name="Expected Output"/>
    <tableColumn id="5" name="Inter-test case Dependence"/>
    <tableColumn id="6" name="Result"/>
    <tableColumn id="7" name="Test date"/>
    <tableColumn id="8" name="Not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Z29"/>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F6" activeCellId="0" sqref="F6"/>
    </sheetView>
  </sheetViews>
  <sheetFormatPr baseColWidth="8" defaultColWidth="14.4453125" defaultRowHeight="14.25" zeroHeight="0" outlineLevelRow="0"/>
  <cols>
    <col width="30" customWidth="1" style="39" min="1" max="3"/>
    <col width="70" customWidth="1" style="39" min="4" max="4"/>
    <col width="14" customWidth="1" style="39" min="5" max="5"/>
    <col width="50" customWidth="1" style="39" min="6" max="6"/>
    <col width="9.109999999999999" customWidth="1" style="39" min="7" max="26"/>
    <col width="14.44" customWidth="1" style="39" min="27" max="16384"/>
  </cols>
  <sheetData>
    <row r="1" ht="25.5" customHeight="1" s="40">
      <c r="A1" s="41" t="inlineStr">
        <is>
          <t>Requirement Level 1</t>
        </is>
      </c>
      <c r="B1" s="41" t="inlineStr">
        <is>
          <t>Requirement Level 2</t>
        </is>
      </c>
      <c r="C1" s="41" t="inlineStr">
        <is>
          <t>Requirement Level 3</t>
        </is>
      </c>
      <c r="D1" s="41" t="inlineStr">
        <is>
          <t>Test Criteria</t>
        </is>
      </c>
      <c r="E1" s="41" t="inlineStr">
        <is>
          <t>Test Type</t>
        </is>
      </c>
      <c r="F1" s="41" t="inlineStr">
        <is>
          <t>Note</t>
        </is>
      </c>
      <c r="G1" s="42" t="n"/>
      <c r="H1" s="42" t="n"/>
      <c r="I1" s="42" t="n"/>
      <c r="J1" s="42" t="n"/>
      <c r="K1" s="42" t="n"/>
      <c r="L1" s="42" t="n"/>
      <c r="M1" s="42" t="n"/>
      <c r="N1" s="42" t="n"/>
      <c r="O1" s="42" t="n"/>
      <c r="P1" s="42" t="n"/>
      <c r="Q1" s="42" t="n"/>
      <c r="R1" s="42" t="n"/>
      <c r="S1" s="42" t="n"/>
      <c r="T1" s="42" t="n"/>
      <c r="U1" s="42" t="n"/>
      <c r="V1" s="42" t="n"/>
      <c r="W1" s="42" t="n"/>
      <c r="X1" s="42" t="n"/>
      <c r="Y1" s="42" t="n"/>
      <c r="Z1" s="42" t="n"/>
    </row>
    <row r="2" ht="15.75" customHeight="1" s="40">
      <c r="A2" s="43" t="inlineStr">
        <is>
          <t>6.3 Tìm kiếm &amp; danh mục</t>
        </is>
      </c>
      <c r="B2" s="43" t="inlineStr">
        <is>
          <t>6.3.2 Danh sách sản phẩm theo danh mục</t>
        </is>
      </c>
      <c r="C2" s="43" t="inlineStr">
        <is>
          <t>Truy cập trang danh sách Tivi</t>
        </is>
      </c>
      <c r="D2" s="44" t="inlineStr">
        <is>
          <t>Kiểm tra truy cập trực tiếp trang danh mục Tivi</t>
        </is>
      </c>
      <c r="E2" s="43" t="inlineStr">
        <is>
          <t>Function</t>
        </is>
      </c>
      <c r="F2" s="44" t="n"/>
    </row>
    <row r="3" ht="15.75" customHeight="1" s="40">
      <c r="A3" s="43" t="n"/>
      <c r="B3" s="43" t="n"/>
      <c r="C3" s="43" t="n"/>
      <c r="D3" s="44" t="inlineStr">
        <is>
          <t>Kiểm tra URL có dấu "/" cuối hoặc tham số theo dõi vẫn mở đúng danh mục</t>
        </is>
      </c>
      <c r="E3" s="43" t="inlineStr">
        <is>
          <t>Function</t>
        </is>
      </c>
      <c r="F3" s="44" t="n"/>
    </row>
    <row r="4" ht="15.75" customHeight="1" s="40">
      <c r="A4" s="43" t="n"/>
      <c r="B4" s="43" t="n"/>
      <c r="C4" s="43" t="inlineStr">
        <is>
          <t>Hiển thị danh sách sản phẩm</t>
        </is>
      </c>
      <c r="D4" s="44" t="inlineStr">
        <is>
          <t>Kiểm tra hiển thị đúng tên danh mục</t>
        </is>
      </c>
      <c r="E4" s="43" t="inlineStr">
        <is>
          <t>GUI</t>
        </is>
      </c>
      <c r="F4" s="44" t="n"/>
    </row>
    <row r="5" ht="15.75" customHeight="1" s="40">
      <c r="A5" s="43" t="n"/>
      <c r="B5" s="43" t="n"/>
      <c r="C5" s="43" t="n"/>
      <c r="D5" s="44" t="inlineStr">
        <is>
          <t>Kiểm tra hiển thị breadcrumb của danh mục</t>
        </is>
      </c>
      <c r="E5" s="43" t="inlineStr">
        <is>
          <t>GUI</t>
        </is>
      </c>
      <c r="F5" s="44" t="n"/>
    </row>
    <row r="6" ht="15.75" customHeight="1" s="40">
      <c r="A6" s="43" t="n"/>
      <c r="B6" s="43" t="n"/>
      <c r="C6" s="43" t="n"/>
      <c r="D6" s="44" t="inlineStr">
        <is>
          <t>Kiểm tra hiển thị khu vực danh sách sản phẩm</t>
        </is>
      </c>
      <c r="E6" s="43" t="inlineStr">
        <is>
          <t>GUI</t>
        </is>
      </c>
      <c r="F6" s="44" t="n"/>
    </row>
    <row r="7" ht="15.75" customHeight="1" s="40">
      <c r="A7" s="43" t="n"/>
      <c r="B7" s="43" t="n"/>
      <c r="C7" s="43" t="n"/>
      <c r="D7" s="44" t="inlineStr">
        <is>
          <t>Kiểm tra mỗi thẻ sản phẩm có tên</t>
        </is>
      </c>
      <c r="E7" s="43" t="inlineStr">
        <is>
          <t>GUI</t>
        </is>
      </c>
      <c r="F7" s="44" t="n"/>
    </row>
    <row r="8" ht="15.75" customHeight="1" s="40">
      <c r="A8" s="43" t="n"/>
      <c r="B8" s="43" t="n"/>
      <c r="C8" s="43" t="n"/>
      <c r="D8" s="44" t="inlineStr">
        <is>
          <t>Kiểm tra ảnh sản phẩm tải thành công</t>
        </is>
      </c>
      <c r="E8" s="43" t="inlineStr">
        <is>
          <t>GUI</t>
        </is>
      </c>
      <c r="F8" s="44" t="n"/>
    </row>
    <row r="9" ht="15.75" customHeight="1" s="40">
      <c r="A9" s="43" t="n"/>
      <c r="B9" s="43" t="n"/>
      <c r="C9" s="43" t="n"/>
      <c r="D9" s="44" t="inlineStr">
        <is>
          <t>Kiểm tra hiển thị giá bán hiện tại</t>
        </is>
      </c>
      <c r="E9" s="43" t="inlineStr">
        <is>
          <t>Function</t>
        </is>
      </c>
      <c r="F9" s="44" t="n"/>
    </row>
    <row r="10" ht="15.75" customHeight="1" s="40">
      <c r="A10" s="43" t="n"/>
      <c r="B10" s="43" t="n"/>
      <c r="C10" s="43" t="n"/>
      <c r="D10" s="44" t="inlineStr">
        <is>
          <t>Kiểm tra định dạng giá bán theo tiền Việt Nam</t>
        </is>
      </c>
      <c r="E10" s="43" t="inlineStr">
        <is>
          <t>Function</t>
        </is>
      </c>
      <c r="F10" s="44" t="n"/>
    </row>
    <row r="11" ht="15.75" customHeight="1" s="40">
      <c r="A11" s="43" t="n"/>
      <c r="B11" s="43" t="n"/>
      <c r="C11" s="43" t="n"/>
      <c r="D11" s="44" t="inlineStr">
        <is>
          <t>Kiểm tra hiển thị giá gốc khi sản phẩm có khuyến mãi</t>
        </is>
      </c>
      <c r="E11" s="43" t="inlineStr">
        <is>
          <t>Function</t>
        </is>
      </c>
      <c r="F11" s="44" t="n"/>
    </row>
    <row r="12" ht="15.75" customHeight="1" s="40">
      <c r="A12" s="43" t="n"/>
      <c r="B12" s="43" t="n"/>
      <c r="C12" s="43" t="n"/>
      <c r="D12" s="44" t="inlineStr">
        <is>
          <t>Kiểm tra nhãn phần trăm giảm giá phù hợp với hai mức giá</t>
        </is>
      </c>
      <c r="E12" s="43" t="inlineStr">
        <is>
          <t>Function</t>
        </is>
      </c>
      <c r="F12" s="44" t="n"/>
    </row>
    <row r="13" ht="15.75" customHeight="1" s="40">
      <c r="A13" s="43" t="n"/>
      <c r="B13" s="43" t="n"/>
      <c r="C13" s="43" t="n"/>
      <c r="D13" s="44" t="inlineStr">
        <is>
          <t>Kiểm tra không hiển thị nhãn giảm giá sai khi không có khuyến mãi</t>
        </is>
      </c>
      <c r="E13" s="43" t="inlineStr">
        <is>
          <t>Function</t>
        </is>
      </c>
      <c r="F13" s="44" t="n"/>
    </row>
    <row r="14" ht="15.75" customHeight="1" s="40">
      <c r="A14" s="43" t="n"/>
      <c r="B14" s="43" t="n"/>
      <c r="C14" s="43" t="n"/>
      <c r="D14" s="44" t="inlineStr">
        <is>
          <t>Kiểm tra thông tin tóm tắt của sản phẩm gắn đúng thẻ</t>
        </is>
      </c>
      <c r="E14" s="43" t="inlineStr">
        <is>
          <t>GUI</t>
        </is>
      </c>
      <c r="F14" s="44" t="n"/>
    </row>
    <row r="15" ht="15.75" customHeight="1" s="40">
      <c r="A15" s="43" t="n"/>
      <c r="B15" s="43" t="n"/>
      <c r="C15" s="43" t="n"/>
      <c r="D15" s="44" t="inlineStr">
        <is>
          <t>Kiểm tra thông tin khuyến mãi/nhãn nổi bật gắn đúng sản phẩm</t>
        </is>
      </c>
      <c r="E15" s="43" t="inlineStr">
        <is>
          <t>GUI</t>
        </is>
      </c>
      <c r="F15" s="44" t="n"/>
    </row>
    <row r="16" ht="15.75" customHeight="1" s="40">
      <c r="A16" s="43" t="n"/>
      <c r="B16" s="43" t="n"/>
      <c r="C16" s="43" t="n"/>
      <c r="D16" s="44" t="inlineStr">
        <is>
          <t>Kiểm tra thông tin đánh giá hoặc đã bán hiển thị hợp lệ nếu có</t>
        </is>
      </c>
      <c r="E16" s="43" t="inlineStr">
        <is>
          <t>GUI</t>
        </is>
      </c>
      <c r="F16" s="44" t="n"/>
    </row>
    <row r="17" ht="15.75" customHeight="1" s="40">
      <c r="A17" s="43" t="n"/>
      <c r="B17" s="43" t="n"/>
      <c r="C17" s="43" t="n"/>
      <c r="D17" s="44" t="inlineStr">
        <is>
          <t>Kiểm tra bố cục thẻ sản phẩm không chồng lấn</t>
        </is>
      </c>
      <c r="E17" s="43" t="inlineStr">
        <is>
          <t>GUI</t>
        </is>
      </c>
      <c r="F17" s="44" t="n"/>
    </row>
    <row r="18" ht="15.75" customHeight="1" s="40">
      <c r="A18" s="43" t="n"/>
      <c r="B18" s="43" t="n"/>
      <c r="C18" s="43" t="n"/>
      <c r="D18" s="44" t="inlineStr">
        <is>
          <t>Kiểm tra danh sách không có thẻ trùng lặp bất thường</t>
        </is>
      </c>
      <c r="E18" s="43" t="inlineStr">
        <is>
          <t>Function</t>
        </is>
      </c>
      <c r="F18" s="44" t="n"/>
    </row>
    <row r="19" ht="15.75" customHeight="1" s="40">
      <c r="A19" s="43" t="n"/>
      <c r="B19" s="43" t="n"/>
      <c r="C19" s="43" t="n"/>
      <c r="D19" s="44" t="inlineStr">
        <is>
          <t>Kiểm tra các sản phẩm hiển thị đúng ngành hàng Tivi</t>
        </is>
      </c>
      <c r="E19" s="43" t="inlineStr">
        <is>
          <t>Function</t>
        </is>
      </c>
      <c r="F19" s="44" t="n"/>
    </row>
    <row r="20" ht="15.75" customHeight="1" s="40">
      <c r="A20" s="43" t="n"/>
      <c r="B20" s="43" t="n"/>
      <c r="C20" s="43" t="n"/>
      <c r="D20" s="44" t="inlineStr">
        <is>
          <t>Kiểm tra tổng số sản phẩm được công bố có định dạng hợp lệ</t>
        </is>
      </c>
      <c r="E20" s="43" t="inlineStr">
        <is>
          <t>Function</t>
        </is>
      </c>
      <c r="F20" s="44" t="n"/>
    </row>
    <row r="21" ht="15.75" customHeight="1" s="40">
      <c r="A21" s="43" t="n"/>
      <c r="B21" s="43" t="n"/>
      <c r="C21" s="43" t="n"/>
      <c r="D21" s="44" t="inlineStr">
        <is>
          <t>Kiểm tra trạng thái tải ban đầu kết thúc đúng</t>
        </is>
      </c>
      <c r="E21" s="43" t="inlineStr">
        <is>
          <t>Function</t>
        </is>
      </c>
      <c r="F21" s="44" t="n"/>
    </row>
    <row r="22" ht="15.75" customHeight="1" s="40">
      <c r="A22" s="43" t="n"/>
      <c r="B22" s="43" t="n"/>
      <c r="C22" s="43" t="inlineStr">
        <is>
          <t>Xem thêm sản phẩm</t>
        </is>
      </c>
      <c r="D22" s="44" t="inlineStr">
        <is>
          <t>Kiểm tra nút hoặc cơ chế tải thêm xuất hiện khi còn sản phẩm</t>
        </is>
      </c>
      <c r="E22" s="43" t="inlineStr">
        <is>
          <t>Function</t>
        </is>
      </c>
      <c r="F22" s="44" t="n"/>
    </row>
    <row r="23" ht="15.75" customHeight="1" s="40">
      <c r="A23" s="43" t="n"/>
      <c r="B23" s="43" t="n"/>
      <c r="C23" s="43" t="n"/>
      <c r="D23" s="44" t="inlineStr">
        <is>
          <t>Kiểm tra nhấn Xem thêm làm tăng số thẻ hiển thị</t>
        </is>
      </c>
      <c r="E23" s="43" t="inlineStr">
        <is>
          <t>Function</t>
        </is>
      </c>
      <c r="F23" s="44" t="n"/>
    </row>
    <row r="24" ht="15.75" customHeight="1" s="40">
      <c r="A24" s="43" t="n"/>
      <c r="B24" s="43" t="n"/>
      <c r="C24" s="43" t="n"/>
      <c r="D24" s="44" t="inlineStr">
        <is>
          <t>Kiểm tra các thẻ mới được nối tiếp danh sách hiện tại</t>
        </is>
      </c>
      <c r="E24" s="43" t="inlineStr">
        <is>
          <t>Function</t>
        </is>
      </c>
      <c r="F24" s="44" t="n"/>
    </row>
    <row r="25" ht="15.75" customHeight="1" s="40">
      <c r="A25" s="43" t="n"/>
      <c r="B25" s="43" t="n"/>
      <c r="C25" s="43" t="n"/>
      <c r="D25" s="44" t="inlineStr">
        <is>
          <t>Kiểm tra không lặp sản phẩm sau khi tải thêm</t>
        </is>
      </c>
      <c r="E25" s="43" t="inlineStr">
        <is>
          <t>Function</t>
        </is>
      </c>
      <c r="F25" s="44" t="n"/>
    </row>
    <row r="26" ht="15.75" customHeight="1" s="40">
      <c r="A26" s="43" t="n"/>
      <c r="B26" s="43" t="n"/>
      <c r="C26" s="43" t="n"/>
      <c r="D26" s="44" t="inlineStr">
        <is>
          <t>Kiểm tra tải thêm nhiều lần liên tiếp vẫn giữ danh sách hợp lệ</t>
        </is>
      </c>
      <c r="E26" s="43" t="inlineStr">
        <is>
          <t>Function</t>
        </is>
      </c>
      <c r="F26" s="44" t="n"/>
    </row>
    <row r="27" ht="15.75" customHeight="1" s="40">
      <c r="A27" s="43" t="n"/>
      <c r="B27" s="43" t="n"/>
      <c r="C27" s="43" t="n"/>
      <c r="D27" s="44" t="inlineStr">
        <is>
          <t>Kiểm tra trạng thái kết thúc khi không còn sản phẩm để tải</t>
        </is>
      </c>
      <c r="E27" s="43" t="inlineStr">
        <is>
          <t>Function</t>
        </is>
      </c>
      <c r="F27" s="44" t="n"/>
    </row>
    <row r="28" ht="15.75" customHeight="1" s="40">
      <c r="A28" s="43" t="n"/>
      <c r="B28" s="43" t="n"/>
      <c r="C28" s="43" t="n"/>
      <c r="D28" s="44" t="inlineStr">
        <is>
          <t>Kiểm tra danh sách giữ các thẻ đã tải khi cuộn lên và xuống</t>
        </is>
      </c>
      <c r="E28" s="43" t="inlineStr">
        <is>
          <t>Function</t>
        </is>
      </c>
      <c r="F28" s="44" t="n"/>
    </row>
    <row r="29" ht="15.75" customHeight="1" s="40">
      <c r="A29" s="43" t="n"/>
      <c r="B29" s="43" t="n"/>
      <c r="C29" s="43" t="n"/>
      <c r="D29" s="44" t="n"/>
      <c r="E29" s="43" t="n"/>
      <c r="F29" s="44" t="n"/>
    </row>
    <row r="30" ht="18.75" customHeight="1" s="40"/>
    <row r="31" ht="18" customHeight="1" s="40"/>
    <row r="38" ht="18.75" customHeight="1" s="40"/>
    <row r="39" ht="18.75" customHeight="1" s="40"/>
    <row r="41" ht="18.75" customHeight="1" s="40"/>
    <row r="42" ht="31.5" customHeight="1" s="40"/>
    <row r="43" ht="18.75" customHeight="1" s="40"/>
    <row r="44" ht="31.5" customHeight="1" s="40"/>
    <row r="45" ht="31.5" customHeight="1" s="40"/>
    <row r="46" ht="18.75" customHeight="1" s="40"/>
    <row r="47" ht="31.5" customHeight="1" s="40"/>
    <row r="48" ht="18.75" customHeight="1" s="40"/>
    <row r="49" ht="31.5" customHeight="1" s="40"/>
    <row r="50" ht="31.5" customHeight="1" s="40"/>
    <row r="51" ht="18.75" customHeight="1" s="40"/>
    <row r="52" ht="18.75" customHeight="1" s="40"/>
    <row r="53" ht="31.5" customHeight="1" s="40"/>
    <row r="54" ht="18.75" customHeight="1" s="40"/>
    <row r="55" ht="31.5" customHeight="1" s="40"/>
    <row r="56" ht="31.5" customHeight="1" s="40"/>
    <row r="57" ht="31.5" customHeight="1" s="40"/>
    <row r="58" ht="31.5" customHeight="1" s="40"/>
    <row r="59" ht="31.5" customHeight="1" s="40"/>
    <row r="60" ht="31.5" customHeight="1" s="40"/>
    <row r="61" ht="31.5" customHeight="1" s="40"/>
    <row r="62" ht="31.5" customHeight="1" s="40"/>
    <row r="63" ht="18.75" customHeight="1" s="40"/>
    <row r="64" ht="31.5" customHeight="1" s="40"/>
    <row r="65" ht="18.75" customHeight="1" s="40"/>
    <row r="66" ht="31.5" customHeight="1" s="40"/>
    <row r="67" ht="31.5" customHeight="1" s="40"/>
    <row r="68" ht="31.5" customHeight="1" s="40"/>
    <row r="69" ht="31.5" customHeight="1" s="40"/>
    <row r="70" ht="18.75" customHeight="1" s="40"/>
    <row r="71" ht="18.75" customHeight="1" s="40"/>
    <row r="72" ht="18.75" customHeight="1" s="40"/>
    <row r="73" ht="31.5" customHeight="1" s="40"/>
    <row r="74" ht="18.75" customHeight="1" s="40"/>
    <row r="75" ht="18.75" customHeight="1" s="40"/>
    <row r="76" ht="18.75" customHeight="1" s="40"/>
    <row r="77" ht="18.75" customHeight="1" s="40"/>
    <row r="78" ht="18.75" customHeight="1" s="40"/>
    <row r="79" ht="18.75" customHeight="1" s="40"/>
    <row r="80" ht="18.75" customHeight="1" s="40"/>
    <row r="81" ht="18.75" customHeight="1" s="40"/>
    <row r="82" ht="18.75" customHeight="1" s="40"/>
    <row r="83" ht="18.75" customHeight="1" s="40"/>
    <row r="84" ht="18.75" customHeight="1" s="40"/>
    <row r="85" ht="18.75" customHeight="1" s="40"/>
    <row r="86" ht="18.75" customHeight="1" s="40"/>
    <row r="87" ht="31.5" customHeight="1" s="40"/>
    <row r="88" ht="18.75" customHeight="1" s="40"/>
    <row r="89" ht="18.75" customHeight="1" s="40"/>
    <row r="90" ht="18.75" customHeight="1" s="40"/>
    <row r="91" ht="31.5" customHeight="1" s="40"/>
    <row r="92" ht="31.5" customHeight="1" s="40"/>
    <row r="93" ht="18.75" customHeight="1" s="40"/>
    <row r="94" ht="18.75" customHeight="1" s="40"/>
    <row r="95" ht="18.75" customHeight="1" s="40"/>
    <row r="96" ht="31.5" customHeight="1" s="40"/>
    <row r="97" ht="18.75" customHeight="1" s="40"/>
    <row r="98" ht="18.75" customHeight="1" s="40"/>
    <row r="99" ht="18.75" customHeight="1" s="40"/>
    <row r="100" ht="31.5" customHeight="1" s="40"/>
    <row r="101" ht="18.75" customHeight="1" s="40"/>
    <row r="102" ht="31.5" customHeight="1" s="40"/>
    <row r="103" ht="18.75" customHeight="1" s="40"/>
    <row r="104" ht="18.75" customHeight="1" s="40"/>
    <row r="105" ht="31.5" customHeight="1" s="40"/>
    <row r="106" ht="31.5" customHeight="1" s="40"/>
    <row r="107" ht="31.5" customHeight="1" s="40"/>
    <row r="108" ht="31.5" customHeight="1" s="40"/>
    <row r="109" ht="31.5" customHeight="1" s="40"/>
    <row r="110" ht="31.5" customHeight="1" s="40"/>
    <row r="111" ht="31.5" customHeight="1" s="40"/>
    <row r="112" ht="18.75" customHeight="1" s="40"/>
    <row r="113" ht="18.75" customHeight="1" s="40"/>
    <row r="114" ht="18.75" customHeight="1" s="40"/>
    <row r="115" ht="18.75" customHeight="1" s="40"/>
    <row r="116" ht="18.75" customHeight="1" s="40"/>
    <row r="117" ht="18.75" customHeight="1" s="40"/>
    <row r="118" ht="31.5" customHeight="1" s="40"/>
    <row r="119" ht="31.5" customHeight="1" s="40"/>
    <row r="120" ht="31.5" customHeight="1" s="40"/>
    <row r="121" ht="18.75" customHeight="1" s="40"/>
    <row r="122" ht="31.5" customHeight="1" s="40"/>
    <row r="123" ht="31.5" customHeight="1" s="40"/>
    <row r="124" ht="18.75" customHeight="1" s="40"/>
    <row r="125" ht="31.5" customHeight="1" s="40"/>
    <row r="126" ht="31.5" customHeight="1" s="40"/>
    <row r="127" ht="18.75" customHeight="1" s="40"/>
    <row r="128" ht="18.75" customHeight="1" s="40"/>
    <row r="129" ht="31.5" customHeight="1" s="40"/>
    <row r="130" ht="31.5" customHeight="1" s="40"/>
    <row r="131" ht="31.5" customHeight="1" s="40"/>
    <row r="132" ht="18.75" customHeight="1" s="40"/>
    <row r="133" ht="18.75" customHeight="1" s="40"/>
    <row r="134" ht="18.75" customHeight="1" s="40"/>
    <row r="135" ht="31.5" customHeight="1" s="40"/>
    <row r="136" ht="31.5" customHeight="1" s="40"/>
    <row r="137" ht="18.75" customHeight="1" s="40"/>
    <row r="138" ht="31.5" customHeight="1" s="40"/>
    <row r="139" ht="31.5" customHeight="1" s="40"/>
  </sheetData>
  <autoFilter ref="A1:F867"/>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Z40"/>
  <sheetViews>
    <sheetView showFormulas="0" showGridLines="1" showRowColHeaders="1" showZeros="1" rightToLeft="0" tabSelected="0" showOutlineSymbols="1" defaultGridColor="1" view="normal" topLeftCell="A1" colorId="64" zoomScale="70" zoomScaleNormal="70" zoomScalePageLayoutView="100" workbookViewId="0">
      <pane xSplit="0" ySplit="8" topLeftCell="A9" activePane="bottomLeft" state="frozen"/>
      <selection pane="topLeft" activeCell="A1" activeCellId="0" sqref="A1"/>
      <selection pane="bottomLeft" activeCell="B3" activeCellId="0" sqref="B3"/>
    </sheetView>
  </sheetViews>
  <sheetFormatPr baseColWidth="8" defaultColWidth="14.4453125" defaultRowHeight="14.25" zeroHeight="0" outlineLevelRow="0"/>
  <cols>
    <col width="26" customWidth="1" style="39" min="1" max="1"/>
    <col width="36" customWidth="1" style="39" min="2" max="2"/>
    <col width="54" customWidth="1" style="39" min="3" max="4"/>
    <col width="24" customWidth="1" style="39" min="5" max="5"/>
    <col width="11" customWidth="1" style="39" min="6" max="6"/>
    <col width="12" customWidth="1" style="39" min="7" max="7"/>
    <col width="40" customWidth="1" style="39" min="8" max="8"/>
    <col width="9.44" customWidth="1" style="39" min="9" max="9"/>
    <col hidden="1" width="8.109999999999999" customWidth="1" style="39" min="10" max="10"/>
    <col width="9.109999999999999" customWidth="1" style="39" min="11" max="26"/>
    <col width="14.44" customWidth="1" style="39" min="27" max="16384"/>
  </cols>
  <sheetData>
    <row r="1" ht="13.5" customHeight="1" s="40">
      <c r="A1" s="45" t="n"/>
      <c r="B1" s="46" t="n"/>
      <c r="C1" s="46" t="n"/>
      <c r="D1" s="46" t="n"/>
      <c r="E1" s="46" t="n"/>
      <c r="F1" s="47" t="n"/>
      <c r="G1" s="48" t="n"/>
      <c r="H1" s="47" t="n"/>
      <c r="I1" s="49" t="n"/>
      <c r="J1" s="50" t="n"/>
      <c r="K1" s="50" t="n"/>
      <c r="L1" s="50" t="n"/>
      <c r="M1" s="50" t="n"/>
      <c r="N1" s="50" t="n"/>
      <c r="O1" s="50" t="n"/>
      <c r="P1" s="50" t="n"/>
      <c r="Q1" s="50" t="n"/>
      <c r="R1" s="50" t="n"/>
      <c r="S1" s="50" t="n"/>
      <c r="T1" s="50" t="n"/>
      <c r="U1" s="50" t="n"/>
      <c r="V1" s="50" t="n"/>
      <c r="W1" s="50" t="n"/>
      <c r="X1" s="50" t="n"/>
      <c r="Y1" s="50" t="n"/>
      <c r="Z1" s="50" t="n"/>
    </row>
    <row r="2" ht="15" customHeight="1" s="40">
      <c r="A2" s="51" t="inlineStr">
        <is>
          <t>Module Code</t>
        </is>
      </c>
      <c r="B2" s="52" t="inlineStr">
        <is>
          <t>Danh sach sp theo danh muc</t>
        </is>
      </c>
      <c r="C2" s="53" t="n"/>
      <c r="D2" s="53" t="n"/>
      <c r="E2" s="53" t="n"/>
      <c r="F2" s="53" t="n"/>
      <c r="G2" s="53" t="n"/>
      <c r="H2" s="54" t="n"/>
      <c r="I2" s="49" t="n"/>
      <c r="J2" s="50" t="inlineStr">
        <is>
          <t>Passed</t>
        </is>
      </c>
      <c r="K2" s="50" t="n"/>
      <c r="L2" s="50" t="n"/>
      <c r="M2" s="50" t="n"/>
      <c r="N2" s="50" t="n"/>
      <c r="O2" s="50" t="n"/>
      <c r="P2" s="50" t="n"/>
      <c r="Q2" s="50" t="n"/>
      <c r="R2" s="50" t="n"/>
      <c r="S2" s="50" t="n"/>
      <c r="T2" s="50" t="n"/>
      <c r="U2" s="50" t="n"/>
      <c r="V2" s="50" t="n"/>
      <c r="W2" s="50" t="n"/>
      <c r="X2" s="50" t="n"/>
      <c r="Y2" s="50" t="n"/>
      <c r="Z2" s="50" t="n"/>
    </row>
    <row r="3" ht="27.75" customHeight="1" s="40">
      <c r="A3" s="55" t="inlineStr">
        <is>
          <t>Test requirement</t>
        </is>
      </c>
      <c r="B3" s="56" t="inlineStr">
        <is>
          <t>Danh sách sản phẩm theo danh mục</t>
        </is>
      </c>
      <c r="C3" s="53" t="n"/>
      <c r="D3" s="53" t="n"/>
      <c r="E3" s="53" t="n"/>
      <c r="F3" s="53" t="n"/>
      <c r="G3" s="53" t="n"/>
      <c r="H3" s="54" t="n"/>
      <c r="I3" s="49" t="n"/>
      <c r="J3" s="50" t="inlineStr">
        <is>
          <t>Failed</t>
        </is>
      </c>
      <c r="K3" s="50" t="n"/>
      <c r="L3" s="50" t="n"/>
      <c r="M3" s="50" t="n"/>
      <c r="N3" s="50" t="n"/>
      <c r="O3" s="50" t="n"/>
      <c r="P3" s="50" t="n"/>
      <c r="Q3" s="50" t="n"/>
      <c r="R3" s="50" t="n"/>
      <c r="S3" s="50" t="n"/>
      <c r="T3" s="50" t="n"/>
      <c r="U3" s="50" t="n"/>
      <c r="V3" s="50" t="n"/>
      <c r="W3" s="50" t="n"/>
      <c r="X3" s="50" t="n"/>
      <c r="Y3" s="50" t="n"/>
      <c r="Z3" s="50" t="n"/>
    </row>
    <row r="4" ht="18" customHeight="1" s="40">
      <c r="A4" s="51" t="inlineStr">
        <is>
          <t>Tester</t>
        </is>
      </c>
      <c r="B4" s="56" t="inlineStr">
        <is>
          <t>Phan Thao Tien</t>
        </is>
      </c>
      <c r="C4" s="53" t="n"/>
      <c r="D4" s="53" t="n"/>
      <c r="E4" s="53" t="n"/>
      <c r="F4" s="53" t="n"/>
      <c r="G4" s="53" t="n"/>
      <c r="H4" s="54" t="n"/>
      <c r="I4" s="49" t="n"/>
      <c r="J4" s="50" t="inlineStr">
        <is>
          <t>Blocked</t>
        </is>
      </c>
      <c r="K4" s="50" t="n"/>
      <c r="L4" s="50" t="n"/>
      <c r="M4" s="50" t="n"/>
      <c r="N4" s="50" t="n"/>
      <c r="O4" s="50" t="n"/>
      <c r="P4" s="50" t="n"/>
      <c r="Q4" s="50" t="n"/>
      <c r="R4" s="50" t="n"/>
      <c r="S4" s="50" t="n"/>
      <c r="T4" s="50" t="n"/>
      <c r="U4" s="50" t="n"/>
      <c r="V4" s="50" t="n"/>
      <c r="W4" s="50" t="n"/>
      <c r="X4" s="50" t="n"/>
      <c r="Y4" s="50" t="n"/>
      <c r="Z4" s="50" t="n"/>
    </row>
    <row r="5" ht="19.5" customHeight="1" s="40">
      <c r="A5" s="57" t="inlineStr">
        <is>
          <t>Passed</t>
        </is>
      </c>
      <c r="B5" s="58" t="inlineStr">
        <is>
          <t>Failed</t>
        </is>
      </c>
      <c r="C5" s="58" t="inlineStr">
        <is>
          <t>Untested</t>
        </is>
      </c>
      <c r="D5" s="58" t="inlineStr">
        <is>
          <t>Blocked</t>
        </is>
      </c>
      <c r="E5" s="59" t="inlineStr">
        <is>
          <t>Skipped</t>
        </is>
      </c>
      <c r="F5" s="58" t="inlineStr">
        <is>
          <t>Number of Test cases</t>
        </is>
      </c>
      <c r="G5" s="53" t="n"/>
      <c r="H5" s="54" t="n"/>
      <c r="I5" s="60" t="n"/>
      <c r="J5" s="50" t="inlineStr">
        <is>
          <t>Untested</t>
        </is>
      </c>
      <c r="K5" s="50" t="n"/>
      <c r="L5" s="50" t="n"/>
      <c r="M5" s="50" t="n"/>
      <c r="N5" s="50" t="n"/>
      <c r="O5" s="50" t="n"/>
      <c r="P5" s="50" t="n"/>
      <c r="Q5" s="50" t="n"/>
      <c r="R5" s="50" t="n"/>
      <c r="S5" s="50" t="n"/>
      <c r="T5" s="50" t="n"/>
      <c r="U5" s="50" t="n"/>
      <c r="V5" s="50" t="n"/>
      <c r="W5" s="50" t="n"/>
      <c r="X5" s="50" t="n"/>
      <c r="Y5" s="50" t="n"/>
      <c r="Z5" s="50" t="n"/>
    </row>
    <row r="6" ht="15" customHeight="1" s="40">
      <c r="A6" s="61">
        <f>COUNTIF(F9:F996,"Passed")</f>
        <v/>
      </c>
      <c r="B6" s="62">
        <f>COUNTIF(F9:F996,"Failed")</f>
        <v/>
      </c>
      <c r="C6" s="62">
        <f>F6-E6-D6-B6-A6</f>
        <v/>
      </c>
      <c r="D6" s="62">
        <f>COUNTIF(F$9:F$996,"Blocked")</f>
        <v/>
      </c>
      <c r="E6" s="63">
        <f>COUNTIF(F$9:F$996,"Skipped")</f>
        <v/>
      </c>
      <c r="F6" s="64">
        <f>COUNTA(A9:A996)</f>
        <v/>
      </c>
      <c r="G6" s="53" t="n"/>
      <c r="H6" s="54" t="n"/>
      <c r="I6" s="60" t="n"/>
      <c r="J6" s="50" t="inlineStr">
        <is>
          <t>Skipped</t>
        </is>
      </c>
      <c r="K6" s="50" t="n"/>
      <c r="L6" s="50" t="n"/>
      <c r="M6" s="50" t="n"/>
      <c r="N6" s="50" t="n"/>
      <c r="O6" s="50" t="n"/>
      <c r="P6" s="50" t="n"/>
      <c r="Q6" s="50" t="n"/>
      <c r="R6" s="50" t="n"/>
      <c r="S6" s="50" t="n"/>
      <c r="T6" s="50" t="n"/>
      <c r="U6" s="50" t="n"/>
      <c r="V6" s="50" t="n"/>
      <c r="W6" s="50" t="n"/>
      <c r="X6" s="50" t="n"/>
      <c r="Y6" s="50" t="n"/>
      <c r="Z6" s="50" t="n"/>
    </row>
    <row r="7" ht="15" customHeight="1" s="40">
      <c r="A7" s="50" t="n"/>
      <c r="B7" s="50" t="n"/>
      <c r="C7" s="50" t="n"/>
      <c r="D7" s="65" t="n"/>
      <c r="E7" s="65" t="n"/>
      <c r="F7" s="66" t="n"/>
      <c r="G7" s="66" t="n"/>
      <c r="H7" s="66" t="n"/>
      <c r="I7" s="60" t="n"/>
      <c r="J7" s="50" t="n"/>
      <c r="K7" s="50" t="n"/>
      <c r="L7" s="50" t="n"/>
      <c r="M7" s="50" t="n"/>
      <c r="N7" s="50" t="n"/>
      <c r="O7" s="50" t="n"/>
      <c r="P7" s="50" t="n"/>
      <c r="Q7" s="50" t="n"/>
      <c r="R7" s="50" t="n"/>
      <c r="S7" s="50" t="n"/>
      <c r="T7" s="50" t="n"/>
      <c r="U7" s="50" t="n"/>
      <c r="V7" s="50" t="n"/>
      <c r="W7" s="50" t="n"/>
      <c r="X7" s="50" t="n"/>
      <c r="Y7" s="50" t="n"/>
      <c r="Z7" s="50" t="n"/>
    </row>
    <row r="8" ht="25.5" customHeight="1" s="40">
      <c r="A8" s="67" t="inlineStr">
        <is>
          <t>ID</t>
        </is>
      </c>
      <c r="B8" s="68" t="inlineStr">
        <is>
          <t>Test Case Description</t>
        </is>
      </c>
      <c r="C8" s="68" t="inlineStr">
        <is>
          <t>Test Case Procedure</t>
        </is>
      </c>
      <c r="D8" s="68" t="inlineStr">
        <is>
          <t>Expected Output</t>
        </is>
      </c>
      <c r="E8" s="69" t="inlineStr">
        <is>
          <t>Inter-test case Dependence</t>
        </is>
      </c>
      <c r="F8" s="69" t="inlineStr">
        <is>
          <t>Result</t>
        </is>
      </c>
      <c r="G8" s="69" t="inlineStr">
        <is>
          <t>Test date</t>
        </is>
      </c>
      <c r="H8" s="70" t="inlineStr">
        <is>
          <t>Note</t>
        </is>
      </c>
      <c r="I8" s="71" t="n"/>
      <c r="J8" s="50" t="n"/>
      <c r="K8" s="50" t="n"/>
      <c r="L8" s="50" t="n"/>
      <c r="M8" s="50" t="n"/>
      <c r="N8" s="50" t="n"/>
      <c r="O8" s="50" t="n"/>
      <c r="P8" s="50" t="n"/>
      <c r="Q8" s="50" t="n"/>
      <c r="R8" s="50" t="n"/>
      <c r="S8" s="50" t="n"/>
      <c r="T8" s="50" t="n"/>
      <c r="U8" s="50" t="n"/>
      <c r="V8" s="50" t="n"/>
      <c r="W8" s="50" t="n"/>
      <c r="X8" s="50" t="n"/>
      <c r="Y8" s="50" t="n"/>
      <c r="Z8" s="50" t="n"/>
    </row>
    <row r="9" ht="113.25" customHeight="1" s="40">
      <c r="A9" s="72" t="inlineStr">
        <is>
          <t>ProductList_Access_01</t>
        </is>
      </c>
      <c r="B9" s="73" t="inlineStr">
        <is>
          <t>Kiểm tra truy cập trực tiếp trang danh mục Tivi</t>
        </is>
      </c>
      <c r="C9" s="73" t="inlineStr">
        <is>
          <t>Pre-condition:
+ Phiên trình duyệt mới (chưa đăng nhập), có kết nối mạng
Step:
1. Mở trình duyệt mới (chưa đăng nhập)
2. Truy cập https://www.dienmayxanh.com/tivi
3. Chờ danh sách tải xong</t>
        </is>
      </c>
      <c r="D9" s="73" t="inlineStr">
        <is>
          <t>1. Mã HTTP &lt; 400 (không lỗi máy chủ, không trang không tồn tại)
2. Đường dẫn sau khi tải là /tivi
3. Tiêu đề tab chứa 'Tivi'
4. Có ít nhất một thẻ sản phẩm
5. Không có thông báo lỗi
6. Không bị chuyển sang trang đăng nhập, không có form/popup đăng nhập chặn nội dung</t>
        </is>
      </c>
      <c r="E9" s="73" t="inlineStr">
        <is>
          <t>Không (chưa đăng nhập)</t>
        </is>
      </c>
      <c r="F9" s="74" t="inlineStr">
        <is>
          <t>Passed</t>
        </is>
      </c>
      <c r="G9" s="75" t="n"/>
      <c r="H9" s="73" t="inlineStr">
        <is>
          <t>Đã gộp nội dung 'truy cập khi chưa đăng nhập' vào đây vì mỗi phiên kiểm thử mặc định đã là khách chưa đăng nhập.</t>
        </is>
      </c>
    </row>
    <row r="10" ht="139.5" customHeight="1" s="40">
      <c r="A10" s="72" t="inlineStr">
        <is>
          <t>ProductList_Access_02</t>
        </is>
      </c>
      <c r="B10" s="73" t="inlineStr">
        <is>
          <t>Kiểm tra URL có dấu "/" cuối hoặc tham số theo dõi vẫn mở đúng danh mục</t>
        </is>
      </c>
      <c r="C10" s="73" t="inlineStr">
        <is>
          <t>Pre-condition:
+ Phiên trình duyệt mới (chưa đăng nhập), có kết nối mạng
Step:
1. Truy cập https://www.dienmayxanh.com/tivi/ (có dấu / cuối)
2. Truy cập https://www.dienmayxanh.com/tivi?utm_source=asm7&amp;utm_medium=test
3. Với mỗi URL, chờ danh sách tải xong</t>
        </is>
      </c>
      <c r="D10" s="73" t="inlineStr">
        <is>
          <t>1. Với cả hai URL: HTTP &lt; 400
2. Đường dẫn cuối cùng là /tivi (bỏ qua dấu / cuối)
3. Có ít nhất một thẻ sản phẩm
4. Không có thông báo lỗi</t>
        </is>
      </c>
      <c r="E10" s="73" t="inlineStr">
        <is>
          <t>Không (chưa đăng nhập)</t>
        </is>
      </c>
      <c r="F10" s="74" t="inlineStr">
        <is>
          <t>Passed</t>
        </is>
      </c>
      <c r="G10" s="75" t="n"/>
      <c r="H10" s="73" t="inlineStr">
        <is>
          <t>Không lặp lại nội dung 'truy cập khi chưa đăng nhập' vì đã có ở ProductList_Access_01.</t>
        </is>
      </c>
    </row>
    <row r="11" ht="113.25" customHeight="1" s="40">
      <c r="A11" s="72" t="inlineStr">
        <is>
          <t>ProductList_Display_01</t>
        </is>
      </c>
      <c r="B11" s="73" t="inlineStr">
        <is>
          <t>Kiểm tra hiển thị đúng tên danh mục</t>
        </is>
      </c>
      <c r="C11" s="73" t="inlineStr">
        <is>
          <t>Pre-condition:
+ Phiên trình duyệt mới (chưa đăng nhập), có kết nối mạng
Step:
1. Truy cập trang Tivi
2. Quan sát tiêu đề chính (thẻ h1) phía trên danh sách sản phẩm</t>
        </is>
      </c>
      <c r="D11" s="73" t="inlineStr">
        <is>
          <t>1. Tiêu đề chính nằm phía trên danh sách, chứa chữ 'Tivi' và không chứa tên danh mục khác (tủ lạnh, máy lạnh, máy giặt, điện thoại, laptop...)</t>
        </is>
      </c>
      <c r="E11" s="73" t="inlineStr">
        <is>
          <t>Không (chưa đăng nhập)</t>
        </is>
      </c>
      <c r="F11" s="74" t="inlineStr">
        <is>
          <t>Passed</t>
        </is>
      </c>
      <c r="G11" s="75" t="n"/>
      <c r="H11" s="73" t="inlineStr">
        <is>
          <t>Nếu trang không có h1 hiển thị thì xét h2 phía trên danh sách và ghi chú lại.</t>
        </is>
      </c>
    </row>
    <row r="12" ht="99.75" customHeight="1" s="40">
      <c r="A12" s="72" t="inlineStr">
        <is>
          <t>ProductList_Display_02</t>
        </is>
      </c>
      <c r="B12" s="73" t="inlineStr">
        <is>
          <t>Kiểm tra hiển thị breadcrumb của danh mục</t>
        </is>
      </c>
      <c r="C12" s="73" t="inlineStr">
        <is>
          <t>Pre-condition:
+ Phiên trình duyệt mới (chưa đăng nhập), có kết nối mạng
Step:
1. Truy cập trang Tivi
2. Quan sát breadcrumb phía trên danh sách</t>
        </is>
      </c>
      <c r="D12" s="73" t="inlineStr">
        <is>
          <t>1. Breadcrumb dạng 'Trang chủ &gt; Tivi' nằm phía trên danh sách
2. Mục cuối là 'Tivi'
3. Mục cha ('Trang chủ'/'Điện máy xanh') nếu là liên kết thì trỏ về trang chủ '/'</t>
        </is>
      </c>
      <c r="E12" s="73" t="inlineStr">
        <is>
          <t>Không (chưa đăng nhập)</t>
        </is>
      </c>
      <c r="F12" s="74" t="inlineStr">
        <is>
          <t>Passed</t>
        </is>
      </c>
      <c r="G12" s="75" t="n"/>
      <c r="H12" s="73" t="inlineStr">
        <is>
          <t>Chỉ kiểm tra hiển thị và đích liên kết của mục cha, không bấm điều hướng sang trang khác.</t>
        </is>
      </c>
    </row>
    <row r="13" ht="113.25" customHeight="1" s="40">
      <c r="A13" s="72" t="inlineStr">
        <is>
          <t>ProductList_Display_03</t>
        </is>
      </c>
      <c r="B13" s="73" t="inlineStr">
        <is>
          <t>Kiểm tra hiển thị khu vực danh sách sản phẩm</t>
        </is>
      </c>
      <c r="C13" s="73" t="inlineStr">
        <is>
          <t>Pre-condition:
+ Phiên trình duyệt mới (chưa đăng nhập), có kết nối mạng
Step:
1. Truy cập trang Tivi
2. Chờ nội dung tải xong
3. Cuộn đến thẻ sản phẩm đầu tiên</t>
        </is>
      </c>
      <c r="D13" s="73" t="inlineStr">
        <is>
          <t>1. Khu vực danh sách hiển thị với ít nhất một thẻ sản phẩm có kích thước &gt; 0
2. Liên kết sản phẩm của thẻ đầu tiên hiển thị (sau khi cuộn tới thẻ)</t>
        </is>
      </c>
      <c r="E13" s="73" t="inlineStr">
        <is>
          <t>Không (chưa đăng nhập)</t>
        </is>
      </c>
      <c r="F13" s="74" t="inlineStr">
        <is>
          <t>Passed</t>
        </is>
      </c>
      <c r="G13" s="75" t="n"/>
      <c r="H13" s="73" t="inlineStr">
        <is>
          <t>Chỉ kiểm tra khu vực danh sách có hiển thị. Trạng thái loading: ProductList_Display_18; nội dung từng thẻ: ProductList_Display_04 đến ProductList_Display_14.</t>
        </is>
      </c>
    </row>
    <row r="14" ht="99.75" customHeight="1" s="40">
      <c r="A14" s="72" t="inlineStr">
        <is>
          <t>ProductList_Display_04</t>
        </is>
      </c>
      <c r="B14" s="73" t="inlineStr">
        <is>
          <t>Kiểm tra mỗi thẻ sản phẩm có tên</t>
        </is>
      </c>
      <c r="C14" s="73" t="inlineStr">
        <is>
          <t>Pre-condition:
+ Phiên trình duyệt mới (chưa đăng nhập), có kết nối mạng
Step:
1. Kiểm tra 5 thẻ sản phẩm đầu tiên
2. Đọc tên trên từng thẻ</t>
        </is>
      </c>
      <c r="D14" s="73" t="inlineStr">
        <is>
          <t>1. Tên có ít nhất 5 ký tự, không chứa undefined/null/NaN
2. Nếu đường dẫn sản phẩm có mã model (gồm cả chữ và số) thì tên phải chứa mã model đó</t>
        </is>
      </c>
      <c r="E14" s="73" t="inlineStr">
        <is>
          <t>Không (chưa đăng nhập)</t>
        </is>
      </c>
      <c r="F14" s="74" t="inlineStr">
        <is>
          <t>Passed</t>
        </is>
      </c>
      <c r="G14" s="75" t="n"/>
      <c r="H14" s="73" t="n"/>
    </row>
    <row r="15" ht="99.75" customHeight="1" s="40">
      <c r="A15" s="72" t="inlineStr">
        <is>
          <t>ProductList_Display_05</t>
        </is>
      </c>
      <c r="B15" s="73" t="inlineStr">
        <is>
          <t>Kiểm tra ảnh sản phẩm tải thành công</t>
        </is>
      </c>
      <c r="C15" s="73" t="inlineStr">
        <is>
          <t>Pre-condition:
+ Phiên trình duyệt mới (chưa đăng nhập), có kết nối mạng
Step:
1. Kiểm tra ảnh của 5 thẻ đầu tiên (cuộn tới từng thẻ)
2. Chờ ảnh tải xong và xác nhận kích thước</t>
        </is>
      </c>
      <c r="D15" s="73" t="inlineStr">
        <is>
          <t>1. Ảnh chính của mỗi thẻ đã tải xong (không vỡ), không phải ảnh placeholder của lazy-load, kích thước gốc &gt;= 50px và kích thước hiển thị &gt;= 40x40px</t>
        </is>
      </c>
      <c r="E15" s="73" t="inlineStr">
        <is>
          <t>Không (chưa đăng nhập)</t>
        </is>
      </c>
      <c r="F15" s="74" t="inlineStr">
        <is>
          <t>Passed</t>
        </is>
      </c>
      <c r="G15" s="75" t="n"/>
      <c r="H15" s="73" t="inlineStr">
        <is>
          <t>Chờ tải ảnh hoàn tất (tối đa 15 giây/ảnh) trước khi kết luận.</t>
        </is>
      </c>
    </row>
    <row r="16" ht="99.75" customHeight="1" s="40">
      <c r="A16" s="72" t="inlineStr">
        <is>
          <t>ProductList_Display_06</t>
        </is>
      </c>
      <c r="B16" s="73" t="inlineStr">
        <is>
          <t>Kiểm tra hiển thị giá bán hiện tại</t>
        </is>
      </c>
      <c r="C16" s="73" t="inlineStr">
        <is>
          <t>Pre-condition:
+ Phiên trình duyệt mới (chưa đăng nhập), có kết nối mạng
Step:
1. Kiểm tra 5 thẻ đầu tiên
2. Ghi nhận giá bán của từng thẻ</t>
        </is>
      </c>
      <c r="D16" s="73" t="inlineStr">
        <is>
          <t>1. Mỗi thẻ có giá bán là số nguyên &gt; 0 (dạng N.NNN.NNN₫) hoặc một trong các thông báo: Liên hệ, Hết hàng, Ngừng kinh doanh, Sắp ra mắt
2. Thẻ không chứa chữ lỗi undefined/NaN</t>
        </is>
      </c>
      <c r="E16" s="73" t="inlineStr">
        <is>
          <t>Không (chưa đăng nhập)</t>
        </is>
      </c>
      <c r="F16" s="74" t="inlineStr">
        <is>
          <t>Passed</t>
        </is>
      </c>
      <c r="G16" s="75" t="n"/>
      <c r="H16" s="73" t="inlineStr">
        <is>
          <t>Giá thay đổi theo thời điểm, không cố định số tiền.</t>
        </is>
      </c>
    </row>
    <row r="17" ht="113.25" customHeight="1" s="40">
      <c r="A17" s="72" t="inlineStr">
        <is>
          <t>ProductList_Display_07</t>
        </is>
      </c>
      <c r="B17" s="73" t="inlineStr">
        <is>
          <t>Kiểm tra định dạng giá bán theo tiền Việt Nam</t>
        </is>
      </c>
      <c r="C17" s="73" t="inlineStr">
        <is>
          <t>Pre-condition:
+ Phiên trình duyệt mới (chưa đăng nhập), có kết nối mạng
Step:
1. Đọc mọi chuỗi giá bán và giá gốc (loại trừ giá quà tặng, trả góp, trả trước, giảm thêm) trên tất cả thẻ đang hiển thị
2. Đối chiếu với định dạng tiền Việt Nam</t>
        </is>
      </c>
      <c r="D17" s="73" t="inlineStr">
        <is>
          <t>1. Mọi chuỗi giá đúng dạng N.NNN.NNN₫ (dấu chấm ngăn nghìn, ký hiệu ₫/đ ở cuối)
2. Ký hiệu tiền nhất quán giữa các thẻ (chỉ dùng một loại ₫ hoặc đ)</t>
        </is>
      </c>
      <c r="E17" s="73" t="inlineStr">
        <is>
          <t>Không (chưa đăng nhập)</t>
        </is>
      </c>
      <c r="F17" s="74" t="inlineStr">
        <is>
          <t>Passed</t>
        </is>
      </c>
      <c r="G17" s="75" t="n"/>
      <c r="H17" s="73" t="inlineStr">
        <is>
          <t>Test đọc cả chuỗi giá bán và giá gốc (loại trừ giá quà tặng, trả góp, trả trước) nên có thể phát hiện giá sai định dạng. Kết quả chạy lại bằng code hiện tại: Passed.</t>
        </is>
      </c>
    </row>
    <row r="18" ht="99.75" customHeight="1" s="40">
      <c r="A18" s="72" t="inlineStr">
        <is>
          <t>ProductList_Display_08</t>
        </is>
      </c>
      <c r="B18" s="73" t="inlineStr">
        <is>
          <t>Kiểm tra hiển thị giá gốc khi sản phẩm có khuyến mãi</t>
        </is>
      </c>
      <c r="C18" s="73" t="inlineStr">
        <is>
          <t>Pre-condition:
+ Phiên trình duyệt mới (chưa đăng nhập), có kết nối mạng
Step:
1. Tìm thẻ có cả giá bán và giá gốc (tải thêm nếu cần)
2. Quan sát cách hiển thị hai mức giá</t>
        </is>
      </c>
      <c r="D18" s="73" t="inlineStr">
        <is>
          <t>1. Giá gốc được phân biệt với giá bán bằng gạch ngang hoặc kiểu chữ khác
2. Nếu gạch ngang: giá gốc &gt; giá bán
3. Nếu không gạch ngang: thẻ phải có nhãn giảm giá đi kèm để xác nhận đó là khuyến mãi</t>
        </is>
      </c>
      <c r="E18" s="73" t="inlineStr">
        <is>
          <t>Không (chưa đăng nhập)</t>
        </is>
      </c>
      <c r="F18" s="74" t="inlineStr">
        <is>
          <t>Passed</t>
        </is>
      </c>
      <c r="G18" s="75" t="n"/>
      <c r="H18" s="73" t="inlineStr">
        <is>
          <t>Nếu không có sản phẩm phù hợp trong dữ liệu hiện tại, ghi nhận 'không đủ dữ liệu'.</t>
        </is>
      </c>
    </row>
    <row r="19" ht="113.25" customHeight="1" s="40">
      <c r="A19" s="72" t="inlineStr">
        <is>
          <t>ProductList_Display_09</t>
        </is>
      </c>
      <c r="B19" s="73" t="inlineStr">
        <is>
          <t>Kiểm tra nhãn phần trăm giảm giá phù hợp với hai mức giá</t>
        </is>
      </c>
      <c r="C19" s="73" t="inlineStr">
        <is>
          <t>Pre-condition:
+ Phiên trình duyệt mới (chưa đăng nhập), có kết nối mạng
Step:
1. Chọn thẻ có giá gốc, giá bán và nhãn giảm giá
2. Tính tỷ lệ giảm = (giá gốc - giá bán) / giá gốc x 100
3. Đối chiếu với nhãn hiển thị</t>
        </is>
      </c>
      <c r="D19" s="73" t="inlineStr">
        <is>
          <t>1. Nhãn -X% bằng tỷ lệ tính được sau khi làm tròn xuống hoặc làm tròn gần nhất
2. Giá trị X thỏa 0 &lt; X &lt; 100</t>
        </is>
      </c>
      <c r="E19" s="73" t="inlineStr">
        <is>
          <t>Không (chưa đăng nhập)</t>
        </is>
      </c>
      <c r="F19" s="74" t="inlineStr">
        <is>
          <t>Passed</t>
        </is>
      </c>
      <c r="G19" s="75" t="n"/>
      <c r="H19" s="73" t="inlineStr">
        <is>
          <t>Quan sát thực tế: website làm tròn xuống (ví dụ 34,97% hiển thị -34%). Nếu quy tắc đổi, cần xác minh lại.</t>
        </is>
      </c>
    </row>
    <row r="20" ht="126.75" customHeight="1" s="40">
      <c r="A20" s="72" t="inlineStr">
        <is>
          <t>ProductList_Display_10</t>
        </is>
      </c>
      <c r="B20" s="73" t="inlineStr">
        <is>
          <t>Kiểm tra không hiển thị nhãn giảm giá sai khi không có khuyến mãi</t>
        </is>
      </c>
      <c r="C20" s="73" t="inlineStr">
        <is>
          <t>Pre-condition:
+ Phiên trình duyệt mới (chưa đăng nhập), có kết nối mạng
Step:
1. Tìm thẻ chỉ có giá bán, không có giá gốc (tải thêm nếu cần)
2. Kiểm tra nhãn khuyến mãi và chữ giá gạch ngang trên thẻ</t>
        </is>
      </c>
      <c r="D20" s="73" t="inlineStr">
        <is>
          <t>1. Thẻ không có nhãn -X% và không có chữ giá bị gạch ngang khi sản phẩm không có khuyến mãi</t>
        </is>
      </c>
      <c r="E20" s="73" t="inlineStr">
        <is>
          <t>Không (chưa đăng nhập)</t>
        </is>
      </c>
      <c r="F20" s="74" t="inlineStr">
        <is>
          <t>Passed</t>
        </is>
      </c>
      <c r="G20" s="75" t="n"/>
      <c r="H20" s="73" t="inlineStr">
        <is>
          <t>Nếu không có sản phẩm phù hợp, ghi nhận 'không đủ dữ liệu'.</t>
        </is>
      </c>
    </row>
    <row r="21" ht="113.25" customHeight="1" s="40">
      <c r="A21" s="72" t="inlineStr">
        <is>
          <t>ProductList_Display_11</t>
        </is>
      </c>
      <c r="B21" s="73" t="inlineStr">
        <is>
          <t>Kiểm tra thông tin tóm tắt của sản phẩm gắn đúng thẻ</t>
        </is>
      </c>
      <c r="C21" s="73" t="inlineStr">
        <is>
          <t>Pre-condition:
+ Phiên trình duyệt mới (chưa đăng nhập), có kết nối mạng
Step:
1. Quan sát thông tin tóm tắt (kích thước, độ phân giải) trên 5 thẻ đầu
2. Kiểm tra thông tin không lệch sang thẻ kế bên</t>
        </is>
      </c>
      <c r="D21" s="73" t="inlineStr">
        <is>
          <t>1. Thông tin tóm tắt, nếu có, nằm trong khung của đúng thẻ (cả chiều ngang và dọc) và kích thước màn hình khớp với tên/đường dẫn của chính thẻ đó</t>
        </is>
      </c>
      <c r="E21" s="73" t="inlineStr">
        <is>
          <t>Không (chưa đăng nhập)</t>
        </is>
      </c>
      <c r="F21" s="74" t="inlineStr">
        <is>
          <t>Passed</t>
        </is>
      </c>
      <c r="G21" s="75" t="n"/>
      <c r="H21" s="73" t="inlineStr">
        <is>
          <t>Không yêu cầu mọi sản phẩm có cùng thông số. Nếu 5 thẻ đầu đều không có thông tin tóm tắt: ghi 'không đủ dữ liệu'. Giới hạn: thẻ được xác định là khối chứa đúng một link sản phẩm nên test chỉ phát hiện lỗi lệch vị trí hiển thị, không phát hiện lỗi dữ liệu gán sai ở phía máy chủ.</t>
        </is>
      </c>
    </row>
    <row r="22" ht="113.25" customHeight="1" s="40">
      <c r="A22" s="72" t="inlineStr">
        <is>
          <t>ProductList_Display_12</t>
        </is>
      </c>
      <c r="B22" s="73" t="inlineStr">
        <is>
          <t>Kiểm tra thông tin khuyến mãi/nhãn nổi bật gắn đúng sản phẩm</t>
        </is>
      </c>
      <c r="C22" s="73" t="inlineStr">
        <is>
          <t>Pre-condition:
+ Phiên trình duyệt mới (chưa đăng nhập), có kết nối mạng
Step:
1. Quan sát các thẻ có nhãn khuyến mãi hoặc nhãn nổi bật (20 thẻ đầu)
2. Đối chiếu vị trí nhãn với thẻ tương ứng</t>
        </is>
      </c>
      <c r="D22" s="73" t="inlineStr">
        <is>
          <t>1. Mỗi nhãn nằm trong khung của đúng thẻ sản phẩm, không nằm trong thẻ kế bên</t>
        </is>
      </c>
      <c r="E22" s="73" t="inlineStr">
        <is>
          <t>Không (chưa đăng nhập)</t>
        </is>
      </c>
      <c r="F22" s="74" t="inlineStr">
        <is>
          <t>Passed</t>
        </is>
      </c>
      <c r="G22" s="75" t="n"/>
      <c r="H22" s="73" t="inlineStr">
        <is>
          <t>Chỉ kiểm tra vị trí gắn nhãn; tính đúng của % giảm: ProductList_Display_09. Giới hạn: thẻ được xác định là khối chứa đúng một link sản phẩm nên test chỉ phát hiện lỗi lệch vị trí hiển thị, không phát hiện lỗi dữ liệu gán sai ở phía máy chủ.</t>
        </is>
      </c>
    </row>
    <row r="23" ht="113.25" customHeight="1" s="40">
      <c r="A23" s="72" t="inlineStr">
        <is>
          <t>ProductList_Display_13</t>
        </is>
      </c>
      <c r="B23" s="73" t="inlineStr">
        <is>
          <t>Kiểm tra thông tin đánh giá hoặc đã bán hiển thị hợp lệ nếu có</t>
        </is>
      </c>
      <c r="C23" s="73" t="inlineStr">
        <is>
          <t>Pre-condition:
+ Phiên trình duyệt mới (chưa đăng nhập), có kết nối mạng
Step:
1. Quan sát các thẻ có thông tin đánh giá hoặc số lượng đã bán (20 thẻ đầu)
2. Kiểm tra cách hiển thị và vị trí</t>
        </is>
      </c>
      <c r="D23" s="73" t="inlineStr">
        <is>
          <t>1. Số đã bán đúng dạng 'Đã bán 9,2k'
2. Điểm đánh giá nằm trong 0-5
3. Mỗi thông tin nằm trong đúng thẻ, không nằm trong thẻ khác</t>
        </is>
      </c>
      <c r="E23" s="73" t="inlineStr">
        <is>
          <t>Không (chưa đăng nhập)</t>
        </is>
      </c>
      <c r="F23" s="74" t="inlineStr">
        <is>
          <t>Passed</t>
        </is>
      </c>
      <c r="G23" s="75" t="n"/>
      <c r="H23" s="73" t="inlineStr">
        <is>
          <t>Chỉ kiểm tra hiển thị, không kiểm tra gửi đánh giá hoặc thứ tự bán chạy. Nếu website không có thông tin này: ghi 'không đủ dữ liệu'.</t>
        </is>
      </c>
    </row>
    <row r="24" ht="113.25" customHeight="1" s="40">
      <c r="A24" s="72" t="inlineStr">
        <is>
          <t>ProductList_Display_14</t>
        </is>
      </c>
      <c r="B24" s="73" t="inlineStr">
        <is>
          <t>Kiểm tra bố cục thẻ sản phẩm không chồng lấn</t>
        </is>
      </c>
      <c r="C24" s="73" t="inlineStr">
        <is>
          <t>Pre-condition:
+ Phiên trình duyệt mới (chưa đăng nhập), có kết nối mạng
Step:
1. Quan sát lưới sản phẩm ở đầu danh sách (12 thẻ đầu)
2. Kiểm tra ảnh, tên, thông tin tóm tắt, giá, giá gốc và nhãn trên từng thẻ</t>
        </is>
      </c>
      <c r="D24" s="73" t="inlineStr">
        <is>
          <t>1. Các thẻ không chồng lấn nhau
2. Các thành phần trong thẻ không chồng lấn nhau và không tràn ra ngoài khung thẻ (cả chiều ngang và dọc)
3. Nhãn được phép nằm đè lên ảnh</t>
        </is>
      </c>
      <c r="E24" s="73" t="inlineStr">
        <is>
          <t>Không (chưa đăng nhập)</t>
        </is>
      </c>
      <c r="F24" s="74" t="inlineStr">
        <is>
          <t>Passed</t>
        </is>
      </c>
      <c r="G24" s="75" t="n"/>
      <c r="H24" s="73" t="inlineStr">
        <is>
          <t>Giới hạn: thẻ được xác định là khối chứa đúng một link sản phẩm nên test chỉ phát hiện lỗi lệch vị trí hiển thị, không phát hiện lỗi dữ liệu gán sai ở phía máy chủ.</t>
        </is>
      </c>
    </row>
    <row r="25" ht="99.75" customHeight="1" s="40">
      <c r="A25" s="72" t="inlineStr">
        <is>
          <t>ProductList_Display_15</t>
        </is>
      </c>
      <c r="B25" s="73" t="inlineStr">
        <is>
          <t>Kiểm tra danh sách không có thẻ trùng lặp bất thường</t>
        </is>
      </c>
      <c r="C25" s="73" t="inlineStr">
        <is>
          <t>Pre-condition:
+ Phiên trình duyệt mới (chưa đăng nhập), có kết nối mạng
Step:
1. Ghi nhận tên và đường dẫn của các thẻ đang hiển thị
2. So sánh các định danh trong cùng danh sách</t>
        </is>
      </c>
      <c r="D25" s="73" t="inlineStr">
        <is>
          <t>1. Không có hai thẻ cùng đường dẫn sản phẩm
2. Không có hai thẻ khác sản phẩm nhưng cùng tên</t>
        </is>
      </c>
      <c r="E25" s="73" t="inlineStr">
        <is>
          <t>Không (chưa đăng nhập)</t>
        </is>
      </c>
      <c r="F25" s="74" t="inlineStr">
        <is>
          <t>Passed</t>
        </is>
      </c>
      <c r="G25" s="75" t="n"/>
      <c r="H25" s="73" t="inlineStr">
        <is>
          <t>Trùng lặp sau khi tải thêm: ProductList_LoadMore_04.</t>
        </is>
      </c>
    </row>
    <row r="26" ht="113.25" customHeight="1" s="40">
      <c r="A26" s="72" t="inlineStr">
        <is>
          <t>ProductList_Display_16</t>
        </is>
      </c>
      <c r="B26" s="73" t="inlineStr">
        <is>
          <t>Kiểm tra các sản phẩm hiển thị đúng ngành hàng Tivi</t>
        </is>
      </c>
      <c r="C26" s="73" t="inlineStr">
        <is>
          <t>Pre-condition:
+ Phiên trình duyệt mới (chưa đăng nhập), có kết nối mạng
Step:
1. Kiểm tra đường dẫn, tên và thông tin tóm tắt của 20 thẻ đầu
2. Đối chiếu loại sản phẩm</t>
        </is>
      </c>
      <c r="D26" s="73" t="inlineStr">
        <is>
          <t>1. Mọi thẻ có đường dẫn /tivi/...
2. Tên chứa 'Tivi'/'TV' hoặc thẻ có thông số tivi (inch, 4K, QLED...)
3. Tên không bắt đầu bằng từ phụ kiện (giá treo, giá đỡ, chân đế, ăng-ten, TV box, loa, kệ, dây, cáp)
4. Tên không chứa tên ngành hàng khác (tủ lạnh, máy lạnh, điều hòa, máy giặt, điện thoại, laptop, quạt, nồi)</t>
        </is>
      </c>
      <c r="E26" s="73" t="inlineStr">
        <is>
          <t>Không (chưa đăng nhập)</t>
        </is>
      </c>
      <c r="F26" s="74" t="inlineStr">
        <is>
          <t>Passed</t>
        </is>
      </c>
      <c r="G26" s="75" t="n"/>
      <c r="H26" s="73" t="n"/>
    </row>
    <row r="27" ht="126.75" customHeight="1" s="40">
      <c r="A27" s="72" t="inlineStr">
        <is>
          <t>ProductList_Display_17</t>
        </is>
      </c>
      <c r="B27" s="73" t="inlineStr">
        <is>
          <t>Kiểm tra tổng số sản phẩm được công bố có định dạng hợp lệ</t>
        </is>
      </c>
      <c r="C27" s="73" t="inlineStr">
        <is>
          <t>Pre-condition:
+ Phiên trình duyệt mới (chưa đăng nhập), có kết nối mạng
Step:
1. Truy cập trang Tivi
2. Quan sát dòng tổng số sản phẩm (nếu có), ví dụ 'N Tivi'
3. So với số thẻ đang hiển thị</t>
        </is>
      </c>
      <c r="D27" s="73" t="inlineStr">
        <is>
          <t>1. Nếu có tổng số: là số nguyên &gt; 0, kèm chữ 'Tivi' (gắn rõ với danh mục) và không nhỏ hơn số thẻ đang hiển thị</t>
        </is>
      </c>
      <c r="E27" s="73" t="inlineStr">
        <is>
          <t>Không (chưa đăng nhập)</t>
        </is>
      </c>
      <c r="F27" s="74" t="inlineStr">
        <is>
          <t>Passed</t>
        </is>
      </c>
      <c r="G27" s="75" t="n"/>
      <c r="H27" s="73" t="inlineStr">
        <is>
          <t>Tổng số thay đổi theo dữ liệu website, không cố định giá trị. Nếu không công bố tổng số: ghi 'không đủ dữ liệu'.</t>
        </is>
      </c>
    </row>
    <row r="28" ht="126.75" customHeight="1" s="40">
      <c r="A28" s="72" t="inlineStr">
        <is>
          <t>ProductList_Display_18</t>
        </is>
      </c>
      <c r="B28" s="73" t="inlineStr">
        <is>
          <t>Kiểm tra trạng thái tải ban đầu kết thúc đúng</t>
        </is>
      </c>
      <c r="C28" s="73" t="inlineStr">
        <is>
          <t>Pre-condition:
+ Phiên trình duyệt mới (chưa đăng nhập), có kết nối mạng
Step:
1. Mở trang danh mục
2. Chờ sự kiện load hoàn tất
3. Quan sát chỉ báo loading và số thẻ sau 1,5 giây
4. Cuộn trang</t>
        </is>
      </c>
      <c r="D28" s="73" t="inlineStr">
        <is>
          <t>1. Không còn skeleton/spinner/aria-busy sau khi tải xong
2. Số thẻ ổn định (không đổi sau 1,5 giây)
3. Trang cuộn được</t>
        </is>
      </c>
      <c r="E28" s="73" t="inlineStr">
        <is>
          <t>Không (chưa đăng nhập)</t>
        </is>
      </c>
      <c r="F28" s="74" t="inlineStr">
        <is>
          <t>Passed</t>
        </is>
      </c>
      <c r="G28" s="75" t="n"/>
      <c r="H28" s="73" t="inlineStr">
        <is>
          <t>Chỉ kiểm tra trạng thái loading; tên/giá của thẻ: ProductList_Display_04, ProductList_Display_06.</t>
        </is>
      </c>
    </row>
    <row r="29" ht="139.5" customHeight="1" s="40">
      <c r="A29" s="72" t="inlineStr">
        <is>
          <t>ProductList_LoadMore_01</t>
        </is>
      </c>
      <c r="B29" s="73" t="inlineStr">
        <is>
          <t>Kiểm tra nút hoặc cơ chế tải thêm xuất hiện khi còn sản phẩm</t>
        </is>
      </c>
      <c r="C29" s="73" t="inlineStr">
        <is>
          <t>Pre-condition:
+ Phiên trình duyệt mới (chưa đăng nhập), có kết nối mạng
+ Tổng số sản phẩm của danh mục lớn hơn số thẻ hiển thị ban đầu
Step:
1. Mở danh mục
2. Cuộn đến cuối phần danh sách đang tải
3. Quan sát cơ chế tải tiếp</t>
        </is>
      </c>
      <c r="D29" s="73" t="inlineStr">
        <is>
          <t>1. Nếu còn sản phẩm chưa tải: có nút 'Xem thêm N Tivi' (N &gt; 0) hiển thị dưới danh sách, hoặc danh sách tự tải thêm khi cuộn xuống cuối</t>
        </is>
      </c>
      <c r="E29" s="73" t="inlineStr">
        <is>
          <t>Không (chưa đăng nhập)</t>
        </is>
      </c>
      <c r="F29" s="74" t="inlineStr">
        <is>
          <t>Passed</t>
        </is>
      </c>
      <c r="G29" s="75" t="n"/>
      <c r="H29" s="73" t="inlineStr">
        <is>
          <t>Website có thể thay đổi giữa nút bấm và tải tự động. Nếu đã hiển thị đủ sản phẩm: ghi 'không đủ dữ liệu'.</t>
        </is>
      </c>
    </row>
    <row r="30" ht="139.5" customHeight="1" s="40">
      <c r="A30" s="72" t="inlineStr">
        <is>
          <t>ProductList_LoadMore_02</t>
        </is>
      </c>
      <c r="B30" s="73" t="inlineStr">
        <is>
          <t>Kiểm tra nhấn Xem thêm làm tăng số thẻ hiển thị</t>
        </is>
      </c>
      <c r="C30" s="73" t="inlineStr">
        <is>
          <t>Pre-condition:
+ Phiên trình duyệt mới (chưa đăng nhập), có kết nối mạng
+ Tổng số sản phẩm của danh mục lớn hơn số thẻ hiển thị ban đầu
Step:
1. Đếm số thẻ ban đầu
2. Nhấn Xem thêm một lần
3. Chờ tải xong và đếm lại</t>
        </is>
      </c>
      <c r="D30" s="73" t="inlineStr">
        <is>
          <t>1. Số thẻ tăng ít nhất 1 sau khi tải thành công
2. Không xuất hiện thông báo lỗi</t>
        </is>
      </c>
      <c r="E30" s="73" t="inlineStr">
        <is>
          <t>Không (chưa đăng nhập)</t>
        </is>
      </c>
      <c r="F30" s="74" t="inlineStr">
        <is>
          <t>Passed</t>
        </is>
      </c>
      <c r="G30" s="75" t="n"/>
      <c r="H30" s="73" t="inlineStr">
        <is>
          <t>Chỉ kiểm tra số lượng. Thứ tự: ProductList_LoadMore_03; trùng lặp: ProductList_LoadMore_04. Nếu website tải tự động, thực hiện thao tác cuộn tương ứng.</t>
        </is>
      </c>
    </row>
    <row r="31" ht="139.5" customHeight="1" s="40">
      <c r="A31" s="72" t="inlineStr">
        <is>
          <t>ProductList_LoadMore_03</t>
        </is>
      </c>
      <c r="B31" s="73" t="inlineStr">
        <is>
          <t>Kiểm tra các thẻ mới được nối tiếp danh sách hiện tại</t>
        </is>
      </c>
      <c r="C31" s="73" t="inlineStr">
        <is>
          <t>Pre-condition:
+ Phiên trình duyệt mới (chưa đăng nhập), có kết nối mạng
+ Tổng số sản phẩm của danh mục lớn hơn số thẻ hiển thị ban đầu
Step:
1. Ghi nhận thứ tự các thẻ trước khi tải thêm
2. Tải thêm sản phẩm
3. So sánh thứ tự danh sách sau tải</t>
        </is>
      </c>
      <c r="D31" s="73" t="inlineStr">
        <is>
          <t>1. Các thẻ cũ giữ nguyên thứ tự (theo đường dẫn sản phẩm) ở đầu danh sách
2. Thẻ mới được nối tiếp ở cuối</t>
        </is>
      </c>
      <c r="E31" s="73" t="inlineStr">
        <is>
          <t>Không (chưa đăng nhập)</t>
        </is>
      </c>
      <c r="F31" s="74" t="inlineStr">
        <is>
          <t>Passed</t>
        </is>
      </c>
      <c r="G31" s="75" t="n"/>
      <c r="H31" s="73" t="inlineStr">
        <is>
          <t>Chỉ kiểm tra thứ tự/nối tiếp.</t>
        </is>
      </c>
    </row>
    <row r="32" ht="139.5" customHeight="1" s="40">
      <c r="A32" s="72" t="inlineStr">
        <is>
          <t>ProductList_LoadMore_04</t>
        </is>
      </c>
      <c r="B32" s="73" t="inlineStr">
        <is>
          <t>Kiểm tra không lặp sản phẩm sau khi tải thêm</t>
        </is>
      </c>
      <c r="C32" s="73" t="inlineStr">
        <is>
          <t>Pre-condition:
+ Phiên trình duyệt mới (chưa đăng nhập), có kết nối mạng
+ Tổng số sản phẩm của danh mục lớn hơn số thẻ hiển thị ban đầu
Step:
1. Ghi nhận đường dẫn các sản phẩm trước khi tải
2. Nhấn Xem thêm
3. So sánh với các sản phẩm sau tải</t>
        </is>
      </c>
      <c r="D32" s="73" t="inlineStr">
        <is>
          <t>1. Các sản phẩm vừa tải không trùng với sản phẩm đã hiển thị trước đó
2. Toàn danh sách (sau khi ổn định) không có thẻ trùng đường dẫn</t>
        </is>
      </c>
      <c r="E32" s="73" t="inlineStr">
        <is>
          <t>Không (chưa đăng nhập)</t>
        </is>
      </c>
      <c r="F32" s="74" t="inlineStr">
        <is>
          <t>Passed</t>
        </is>
      </c>
      <c r="G32" s="75" t="n"/>
      <c r="H32" s="73" t="inlineStr">
        <is>
          <t>Danh sách có thể còn đang dựng lại ngay sau khi tải nên test chờ ổn định tối đa 6 giây trước khi kết luận.</t>
        </is>
      </c>
    </row>
    <row r="33" ht="139.5" customHeight="1" s="40">
      <c r="A33" s="72" t="inlineStr">
        <is>
          <t>ProductList_LoadMore_05</t>
        </is>
      </c>
      <c r="B33" s="73" t="inlineStr">
        <is>
          <t>Kiểm tra tải thêm nhiều lần liên tiếp vẫn giữ danh sách hợp lệ</t>
        </is>
      </c>
      <c r="C33" s="73" t="inlineStr">
        <is>
          <t>Pre-condition:
+ Phiên trình duyệt mới (chưa đăng nhập), có kết nối mạng
+ Tổng số sản phẩm của danh mục lớn hơn số thẻ hiển thị ban đầu
Step:
1. Nhấn Xem thêm tối đa 3 lần liên tiếp (dừng sớm nếu đã hết sản phẩm hoặc số thẻ không tăng thêm), chờ mỗi lần tải hoàn tất
2. Quan sát số lượng thẻ và trạng thái trang sau mỗi lần</t>
        </is>
      </c>
      <c r="D33" s="73" t="inlineStr">
        <is>
          <t>1. Thực hiện thành công ít nhất một lần tải thêm
2. Sau mỗi lần tải thành công, số thẻ tăng lên
3. Số thẻ cuối cùng lớn hơn số thẻ ban đầu
4. Sau mỗi lần tải, trang không có thông báo lỗi</t>
        </is>
      </c>
      <c r="E33" s="73" t="inlineStr">
        <is>
          <t>Không (chưa đăng nhập)</t>
        </is>
      </c>
      <c r="F33" s="74" t="inlineStr">
        <is>
          <t>Passed</t>
        </is>
      </c>
      <c r="G33" s="75" t="n"/>
      <c r="H33" s="73" t="inlineStr">
        <is>
          <t>Giới hạn 3 lần để tránh chạy vô hạn. Thứ tự: ProductList_LoadMore_03; trùng lặp: ProductList_LoadMore_04.</t>
        </is>
      </c>
    </row>
    <row r="34" ht="153" customHeight="1" s="40">
      <c r="A34" s="72" t="inlineStr">
        <is>
          <t>ProductList_LoadMore_06</t>
        </is>
      </c>
      <c r="B34" s="73" t="inlineStr">
        <is>
          <t>Kiểm tra trạng thái kết thúc khi không còn sản phẩm để tải</t>
        </is>
      </c>
      <c r="C34" s="73" t="inlineStr">
        <is>
          <t>Pre-condition:
+ Phiên trình duyệt mới (chưa đăng nhập), có kết nối mạng
+ Tổng số sản phẩm của danh mục lớn hơn số thẻ hiển thị ban đầu
Step:
1. Tải tiếp đến khi nút Xem thêm biến mất/bị vô hiệu hóa hoặc số sản phẩm không tăng nữa (tối đa 25 lần, thời gian chạy tối đa 4 phút)
2. Cuộn xuống cuối nhiều lần để xác nhận danh sách đã ổn định
3. Đối chiếu số thẻ với tổng số công bố</t>
        </is>
      </c>
      <c r="D34" s="73" t="inlineStr">
        <is>
          <t>1. Quá trình tải dừng khi nút tải thêm biến mất hoặc bị vô hiệu hóa, hoặc khi danh sách không tăng nữa
2. Sau đó danh sách ổn định, không tự tải vô hạn khi cuộn
3. Nếu có tổng số công bố: số thẻ không vượt tổng số và không thấp hơn tổng số quá 5% (dung sai cho sản phẩm ẩn/ngừng kinh doanh)</t>
        </is>
      </c>
      <c r="E34" s="73" t="inlineStr">
        <is>
          <t>Không (chưa đăng nhập)</t>
        </is>
      </c>
      <c r="F34" s="74" t="inlineStr">
        <is>
          <t>Passed</t>
        </is>
      </c>
      <c r="G34" s="75" t="n"/>
      <c r="H34" s="73" t="inlineStr">
        <is>
          <t>Không kết luận 'đã hết' chỉ vì không thấy nút; phải khớp với tổng số công bố. Nếu website không công bố tổng số, ghi cảnh báo. Kết quả chạy lại bằng code hiện tại: Passed.</t>
        </is>
      </c>
    </row>
    <row r="35" ht="153" customHeight="1" s="40">
      <c r="A35" s="72" t="inlineStr">
        <is>
          <t>ProductList_LoadMore_07</t>
        </is>
      </c>
      <c r="B35" s="73" t="inlineStr">
        <is>
          <t>Kiểm tra danh sách giữ các thẻ đã tải khi cuộn lên và xuống</t>
        </is>
      </c>
      <c r="C35" s="73" t="inlineStr">
        <is>
          <t>Pre-condition:
+ Phiên trình duyệt mới (chưa đăng nhập), có kết nối mạng
Step:
1. Tải thêm một lần (nếu còn sản phẩm) và ghi nhận các thẻ đang hiển thị
2. Cuộn xuống cuối trang
3. Cuộn trở lại đầu trang</t>
        </is>
      </c>
      <c r="D35" s="73" t="inlineStr">
        <is>
          <t>1. Các thẻ đã tải vẫn còn, giữ nguyên thứ tự (theo đường dẫn sản phẩm)
2. Số thẻ không giảm</t>
        </is>
      </c>
      <c r="E35" s="73" t="inlineStr">
        <is>
          <t>Không (chưa đăng nhập)</t>
        </is>
      </c>
      <c r="F35" s="74" t="inlineStr">
        <is>
          <t>Passed</t>
        </is>
      </c>
      <c r="G35" s="75" t="n"/>
      <c r="H35" s="73" t="inlineStr">
        <is>
          <t>Không kiểm tra mở trang chi tiết.</t>
        </is>
      </c>
    </row>
    <row r="36" ht="14.25" customHeight="1" s="40">
      <c r="A36" s="72" t="n"/>
      <c r="B36" s="73" t="n"/>
      <c r="C36" s="73" t="n"/>
      <c r="D36" s="73" t="n"/>
      <c r="E36" s="73" t="n"/>
      <c r="F36" s="74" t="n"/>
      <c r="G36" s="75" t="n"/>
      <c r="H36" s="73" t="n"/>
    </row>
    <row r="37" ht="14.25" customHeight="1" s="40">
      <c r="A37" s="72" t="n"/>
      <c r="B37" s="73" t="n"/>
      <c r="C37" s="73" t="n"/>
      <c r="D37" s="73" t="n"/>
      <c r="E37" s="73" t="n"/>
      <c r="F37" s="74" t="n"/>
      <c r="G37" s="75" t="n"/>
      <c r="H37" s="73" t="n"/>
    </row>
    <row r="38" ht="14.25" customHeight="1" s="40">
      <c r="A38" s="72" t="n"/>
      <c r="B38" s="73" t="n"/>
      <c r="C38" s="73" t="n"/>
      <c r="D38" s="73" t="n"/>
      <c r="E38" s="73" t="n"/>
      <c r="F38" s="74" t="n"/>
      <c r="G38" s="75" t="n"/>
      <c r="H38" s="73" t="n"/>
    </row>
    <row r="39" ht="14.25" customHeight="1" s="40">
      <c r="A39" s="76" t="n"/>
      <c r="B39" s="77" t="n"/>
      <c r="C39" s="77" t="n"/>
      <c r="D39" s="77" t="n"/>
      <c r="E39" s="77" t="n"/>
      <c r="F39" s="78" t="n"/>
      <c r="G39" s="79" t="n"/>
      <c r="H39" s="77" t="n"/>
    </row>
    <row r="40" ht="14.25" customHeight="1" s="40">
      <c r="A40" s="76" t="n"/>
      <c r="B40" s="77" t="n"/>
      <c r="C40" s="77" t="n"/>
      <c r="D40" s="77" t="n"/>
      <c r="E40" s="77" t="n"/>
      <c r="F40" s="78" t="n"/>
      <c r="G40" s="79" t="n"/>
      <c r="H40" s="77" t="n"/>
    </row>
  </sheetData>
  <mergeCells count="5">
    <mergeCell ref="F6:H6"/>
    <mergeCell ref="F5:H5"/>
    <mergeCell ref="B4:H4"/>
    <mergeCell ref="B2:H2"/>
    <mergeCell ref="B3:H3"/>
  </mergeCells>
  <dataValidations count="1">
    <dataValidation sqref="F9:F600" showDropDown="0" showInputMessage="0" showErrorMessage="0" allowBlank="1" type="list" errorStyle="stop" operator="between">
      <formula1>$J$2:$J$6</formula1>
      <formula2>0</formula2>
    </dataValidation>
  </dataValidations>
  <printOptions horizontalCentered="0" verticalCentered="0" headings="0" gridLines="0" gridLinesSet="1"/>
  <pageMargins left="0.7" right="0.7" top="0.75" bottom="0.75" header="0" footer="0"/>
  <pageSetup orientation="landscape" paperSize="1" scale="100" fitToHeight="1" fitToWidth="1" pageOrder="downThenOver" blackAndWhite="0" draft="0" horizontalDpi="300" verticalDpi="300" copies="1"/>
  <headerFooter differentOddEven="0" differentFirst="0">
    <oddHeader>&amp;LFacilitate_Test Case\Company&amp;Rv1.0</oddHeader>
    <oddFooter>&amp;L 02ae-BM/PM/HDCV/FSOFT v2/0&amp;CInternal use&amp;R&amp;P/</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Minh</dc:creator>
  <dc:language xmlns:dc="http://purl.org/dc/elements/1.1/">en-US</dc:language>
  <dcterms:created xmlns:dcterms="http://purl.org/dc/terms/" xmlns:xsi="http://www.w3.org/2001/XMLSchema-instance" xsi:type="dcterms:W3CDTF">2015-06-05T18:17:20Z</dcterms:created>
  <dcterms:modified xmlns:dcterms="http://purl.org/dc/terms/" xmlns:xsi="http://www.w3.org/2001/XMLSchema-instance" xsi:type="dcterms:W3CDTF">2026-10-29T18:43:35Z</dcterms:modified>
  <cp:lastModifiedBy>23130194 - Nguyễn Võ Quang Minh</cp:lastModifiedBy>
  <cp:revision>0</cp:revision>
</cp:coreProperties>
</file>