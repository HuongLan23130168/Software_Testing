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TestDesign" sheetId="1" state="visible" r:id="rId3"/>
    <sheet name="Tim sieu thi" sheetId="2" state="visible" r:id="rId4"/>
  </sheets>
  <definedNames>
    <definedName function="false" hidden="true" localSheetId="0" name="_xlnm._FilterDatabase" vbProcedure="false">TestDesign!$A$1:$F$29</definedName>
    <definedName function="false" hidden="false" name="ACTION" vbProcedure="false">#REF!</definedName>
    <definedName function="false" hidden="false" name="LOCAL_DATE_SEPARATOR" vbProcedure="false">#REF!</definedName>
    <definedName function="false" hidden="false" name="LOCAL_DAY_FORMAT" vbProcedure="false">#REF!</definedName>
    <definedName function="false" hidden="false" name="LOCAL_HOUR_FORMAT" vbProcedure="false">#REF!</definedName>
    <definedName function="false" hidden="false" name="LOCAL_MINUTE_FORMAT" vbProcedure="false">#REF!</definedName>
    <definedName function="false" hidden="false" name="LOCAL_MONTH_FORMAT" vbProcedure="false">#REF!</definedName>
    <definedName function="false" hidden="false" name="LOCAL_SECOND_FORMAT" vbProcedure="false">#REF!</definedName>
    <definedName function="false" hidden="false" name="LOCAL_TIME_SEPARATOR" vbProcedure="false">#REF!</definedName>
    <definedName function="false" hidden="false" name="LOCAL_YEAR_FORMAT" vbProcedure="false">#REF!</definedName>
    <definedName function="false" hidden="false" localSheetId="0" name="_Toc301930468" vbProcedure="false">TestDesign!$B$216</definedName>
    <definedName function="false" hidden="false" localSheetId="0" name="_Toc301930478" vbProcedure="false">TestDesign!$B$376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<sst xmlns="http://schemas.openxmlformats.org/spreadsheetml/2006/main" count="283" uniqueCount="173">
  <si>
    <t xml:space="preserve">Requirement Level 1</t>
  </si>
  <si>
    <t xml:space="preserve">Requirement Level 2</t>
  </si>
  <si>
    <t xml:space="preserve">Requirement Level 3</t>
  </si>
  <si>
    <t xml:space="preserve">Test Criteria</t>
  </si>
  <si>
    <t xml:space="preserve">Test Type</t>
  </si>
  <si>
    <t xml:space="preserve">Note</t>
  </si>
  <si>
    <t xml:space="preserve">6.7 Thông tin &amp; hỗ trợ</t>
  </si>
  <si>
    <t xml:space="preserve">6.7.1 Tìm siêu thị</t>
  </si>
  <si>
    <t xml:space="preserve">Truy cập trang</t>
  </si>
  <si>
    <t xml:space="preserve">Kiểm tra truy cập trang Tìm siêu thị bằng mục [Tìm địa chỉ cửa hàng] trên website</t>
  </si>
  <si>
    <t xml:space="preserve">Function</t>
  </si>
  <si>
    <t xml:space="preserve">Kiểm tra truy cập trang Tìm siêu thị khi chưa đăng nhập</t>
  </si>
  <si>
    <t xml:space="preserve">Kiểm tra truy cập trang Tìm siêu thị khi đã đăng nhập</t>
  </si>
  <si>
    <t xml:space="preserve">Hiển thị trang</t>
  </si>
  <si>
    <t xml:space="preserve">Kiểm tra giao diện tổng thể trang Tìm siêu thị</t>
  </si>
  <si>
    <t xml:space="preserve">GUI</t>
  </si>
  <si>
    <t xml:space="preserve">Kiểm tra hiển thị mục "Các tiện ích tại siêu thị"</t>
  </si>
  <si>
    <t xml:space="preserve">Chọn Tỉnh/Thành</t>
  </si>
  <si>
    <t xml:space="preserve">Kiểm tra danh sách tỉnh/thành khi mở ô [Chọn tỉnh, thành]</t>
  </si>
  <si>
    <t xml:space="preserve">Kiểm tra chọn tỉnh/thành có nhiều siêu thị (Thành phố Hồ Chí Minh)</t>
  </si>
  <si>
    <t xml:space="preserve">Kiểm tra đổi sang tỉnh/thành khác khi chưa chọn phường/xã</t>
  </si>
  <si>
    <t xml:space="preserve">Kiểm tra gõ tìm nhanh tỉnh/thành trong ô [Chọn tỉnh, thành]</t>
  </si>
  <si>
    <t xml:space="preserve">Kiểm tra chọn tỉnh/thành và phường/xã chỉ bằng bàn phím</t>
  </si>
  <si>
    <t xml:space="preserve">Chọn Phường/Xã</t>
  </si>
  <si>
    <t xml:space="preserve">Kiểm tra chọn phường/xã hợp lệ có siêu thị</t>
  </si>
  <si>
    <t xml:space="preserve">Kiểm tra chọn phường/xã không có siêu thị</t>
  </si>
  <si>
    <t xml:space="preserve">Kiểm tra mở ô [Chọn phường, xã] khi chưa chọn tỉnh/thành</t>
  </si>
  <si>
    <t xml:space="preserve">Kiểm tra đổi tỉnh/thành sau khi đã chọn phường/xã</t>
  </si>
  <si>
    <t xml:space="preserve">Kiểm tra bỏ chọn phường/xã để xem lại toàn bộ siêu thị của tỉnh</t>
  </si>
  <si>
    <t xml:space="preserve">Kiểm tra gõ tìm phường/xã (có dấu, không dấu, sai tên)</t>
  </si>
  <si>
    <t xml:space="preserve">Xem siêu thị gần bạn</t>
  </si>
  <si>
    <t xml:space="preserve">Kiểm tra bấm [Hoặc xem siêu thị gần bạn] lần đầu: trình duyệt hỏi quyền vị trí</t>
  </si>
  <si>
    <t xml:space="preserve">Kiểm tra cho phép chia sẻ vị trí: hiển thị siêu thị gần bạn</t>
  </si>
  <si>
    <t xml:space="preserve">Kiểm tra click nhanh liên tiếp nút [Hoặc xem siêu thị gần bạn]</t>
  </si>
  <si>
    <t xml:space="preserve">Kiểm tra chọn khu vực bằng tay sau khi đã xem siêu thị gần bạn</t>
  </si>
  <si>
    <t xml:space="preserve">Danh sách siêu thị</t>
  </si>
  <si>
    <t xml:space="preserve">Kiểm tra siêu thị trong danh sách thuộc đúng khu vực đã chọn (lấy mẫu 10 mục)</t>
  </si>
  <si>
    <t xml:space="preserve">Kiểm tra thương hiệu hiển thị của các siêu thị (Điện máy XANH, Thế Giới Di Động)</t>
  </si>
  <si>
    <t xml:space="preserve">Chi tiết siêu thị</t>
  </si>
  <si>
    <t xml:space="preserve">Kiểm tra mở trang chi tiết siêu thị từ danh sách</t>
  </si>
  <si>
    <t xml:space="preserve">Kiểm tra breadcrumb trên trang chi tiết siêu thị</t>
  </si>
  <si>
    <t xml:space="preserve">Kiểm tra liên kết "Xem chỉ đường đến siêu thị này"</t>
  </si>
  <si>
    <t xml:space="preserve">Kiểm tra mục "Các siêu thị Điện máy XANH khác tại &lt;Tỉnh/Thành&gt;"</t>
  </si>
  <si>
    <t xml:space="preserve">Kiểm tra nút Back của trình duyệt từ trang chi tiết về danh sách</t>
  </si>
  <si>
    <t xml:space="preserve">Module Code</t>
  </si>
  <si>
    <t xml:space="preserve">Tim sieu thi</t>
  </si>
  <si>
    <t xml:space="preserve">Passed</t>
  </si>
  <si>
    <t xml:space="preserve">Test requirement</t>
  </si>
  <si>
    <t xml:space="preserve">Tìm siêu thị</t>
  </si>
  <si>
    <t xml:space="preserve">Failed</t>
  </si>
  <si>
    <t xml:space="preserve">Tester</t>
  </si>
  <si>
    <t xml:space="preserve">Cao Thị Kim Ngân - 23130204</t>
  </si>
  <si>
    <t xml:space="preserve">Blocked</t>
  </si>
  <si>
    <t xml:space="preserve">Untested</t>
  </si>
  <si>
    <t xml:space="preserve">Skipped</t>
  </si>
  <si>
    <t xml:space="preserve">Number of Test cases</t>
  </si>
  <si>
    <t xml:space="preserve">ID</t>
  </si>
  <si>
    <t xml:space="preserve">Test Case Description</t>
  </si>
  <si>
    <t xml:space="preserve">Test Case Procedure</t>
  </si>
  <si>
    <t xml:space="preserve">Expected Output</t>
  </si>
  <si>
    <t xml:space="preserve">Inter-test case Dependence</t>
  </si>
  <si>
    <t xml:space="preserve">Result</t>
  </si>
  <si>
    <t xml:space="preserve">Test date</t>
  </si>
  <si>
    <t xml:space="preserve">Store_Access_01</t>
  </si>
  <si>
    <t xml:space="preserve">Pre-condition:
+ Dùng Cốc Cốc bản mới nhất trên laptop Lenovo (Windows 10), kết nối Internet ổn định
+ Chưa đăng nhập (khách vãng lai), không cần tài khoản
Step:
1. Mở trang chủ https://www.dienmayxanh.com
2. Click mục [Tìm địa chỉ cửa hàng] (ở menu hoặc chân trang)</t>
  </si>
  <si>
    <t xml:space="preserve">1. Trang chủ hiển thị bình thường
2. Chuyển đến trang Hệ thống siêu thị (URL /he-thong-sieu-thi-dien-may), hiển thị mục "Tìm siêu thị điện máy xanh"; không lỗi 404/500</t>
  </si>
  <si>
    <t xml:space="preserve">Không (không cần đăng nhập)</t>
  </si>
  <si>
    <t xml:space="preserve">Script click liên kết đầu tiên có href chứa /he-thong-sieu-thi-dien-may trên trang chủ. Kết quả: chuyển đúng URL, hiển thị "Tìm siêu thị", không 404/500.</t>
  </si>
  <si>
    <t xml:space="preserve">Store_Access_02</t>
  </si>
  <si>
    <t xml:space="preserve">Pre-condition:
+ Dùng Cốc Cốc bản mới nhất trên laptop Lenovo (Windows 10), kết nối Internet ổn định
+ Dùng cửa sổ ẩn danh của Cốc Cốc (Ctrl+Shift+N) để chắc chắn chưa đăng nhập
Step:
1. Mở cửa sổ ẩn danh, truy cập https://www.dienmayxanh.com/he-thong-sieu-thi-dien-may
2. Quan sát header và khu vực [Tìm siêu thị điện máy xanh]</t>
  </si>
  <si>
    <t xml:space="preserve">1. Trang hiển thị bình thường, không yêu cầu đăng nhập, không bị chuyển sang trang đăng nhập
2. Header có nút [Đăng nhập]; 2 ô chọn tỉnh/phường và nút xem siêu thị gần bạn đều thao tác được</t>
  </si>
  <si>
    <t xml:space="preserve">Dùng ngữ cảnh trình duyệt mới (tương đương ẩn danh). Kết quả: giữ nguyên URL, không chuyển sang trang đăng nhập; có nút [Đăng nhập], ô tỉnh và nút "gần bạn" hiển thị.</t>
  </si>
  <si>
    <t xml:space="preserve">Store_Access_03</t>
  </si>
  <si>
    <t xml:space="preserve">Pre-condition:
+ Dùng Cốc Cốc bản mới nhất trên laptop Lenovo (Windows 10), kết nối Internet ổn định
+ Có tài khoản khách hàng test đã đăng ký, nhận được OTP
Step:
1. Đăng nhập bằng tài khoản khách hàng test
2. Truy cập https://www.dienmayxanh.com/he-thong-sieu-thi-dien-may</t>
  </si>
  <si>
    <t xml:space="preserve">1. Đăng nhập thành công, header hiển thị tên tài khoản
2. Trang hiển thị giống khi chưa đăng nhập, header vẫn giữ trạng thái đăng nhập; không bị chuyển hướng hoặc đăng xuất ngoài ý muốn</t>
  </si>
  <si>
    <t xml:space="preserve">Đăng nhập tài khoản khách hàng test</t>
  </si>
  <si>
    <t xml:space="preserve">Dùng phiên đăng nhập lưu sẵn (auth.json, đăng nhập OTP thủ công 1 lần). Script kiểm tra: URL đúng, nút [Đăng nhập] đã ẩn, ô tỉnh hiển thị. Tên tài khoản trên header chưa kiểm tra tự động.</t>
  </si>
  <si>
    <t xml:space="preserve">Store_Display_01</t>
  </si>
  <si>
    <t xml:space="preserve">Pre-condition:
+ Dùng Cốc Cốc bản mới nhất trên laptop Lenovo (Windows 10), kết nối Internet ổn định
+ Chưa đăng nhập (khách vãng lai), không cần tài khoản
Step:
1. Truy cập https://www.dienmayxanh.com/he-thong-sieu-thi-dien-may
2. Quan sát toàn bộ trang từ header đến footer</t>
  </si>
  <si>
    <t xml:space="preserve">1. Trang hiển thị
2. Có đủ: tiêu đề mục "Tìm siêu thị điện máy xanh"; ô [Chọn tỉnh, thành]; ô [Chọn phường, xã]; nút [Hoặc xem siêu thị gần bạn]; dòng "Hệ thống n siêu thị toàn quốc"; dòng "Mở cửa 8:00 - 22:00 kể cả chủ nhật và lễ"; mục "Các tiện ích tại siêu thị". Không lỗi chính tả, tiếng Việt có dấu hiển thị đúng, không vỡ bố cục, hình ảnh tải đủ</t>
  </si>
  <si>
    <t xml:space="preserve">Script kiểm tra đủ các nhãn/ô trong kết quả mong đợi, không tràn ngang trang, không có ảnh lỗi (sau khi cuộn hết trang). Lỗi chính tả không kiểm tra tự động.</t>
  </si>
  <si>
    <t xml:space="preserve">Store_Display_02</t>
  </si>
  <si>
    <t xml:space="preserve">Pre-condition:
+ Dùng Cốc Cốc bản mới nhất trên laptop Lenovo (Windows 10), kết nối Internet ổn định
+ Chưa đăng nhập (khách vãng lai), không cần tài khoản
Step:
1. Truy cập trang Tìm siêu thị, cuộn đến mục "Các tiện ích tại siêu thị"
2. Đọc nội dung và quan sát biểu tượng/hình ảnh</t>
  </si>
  <si>
    <t xml:space="preserve">1. Mục hiển thị đầy đủ
2. Liệt kê các tiện ích (ví dụ bảo hành chính hãng, giữ xe miễn phí, wifi miễn phí); biểu tượng hiển thị đủ, căn chỉnh đều, không tràn chữ</t>
  </si>
  <si>
    <t xml:space="preserve">Script kiểm tra tiêu đề mục, có nội dung tiện ích (bảo hành/giữ xe/wifi/miễn phí), có biểu tượng, không có phần tử bị tràn chữ.</t>
  </si>
  <si>
    <t xml:space="preserve">Store_Province_01</t>
  </si>
  <si>
    <t xml:space="preserve">Pre-condition:
+ Dùng Cốc Cốc bản mới nhất trên laptop Lenovo (Windows 10), kết nối Internet ổn định
+ Chưa đăng nhập (khách vãng lai), không cần tài khoản
Step:
1. Truy cập trang Tìm siêu thị, click ô [Chọn tỉnh, thành]
2. Đếm và đọc toàn bộ danh sách, cuộn đến cuối</t>
  </si>
  <si>
    <t xml:space="preserve">1. Danh sách tỉnh/thành xổ xuống
2. Có khoảng 34 tỉnh/thành (gồm Thành phố Hồ Chí Minh, Thành phố Hà Nội, Thành phố Đà Nẵng...), không trùng lặp, không mục rỗng, tiếng Việt có dấu đúng, cuộn được đến mục cuối</t>
  </si>
  <si>
    <t xml:space="preserve">Script kiểm tra: số tỉnh/thành trong khoảng 30-40, không trùng, có Hồ Chí Minh/Hà Nội/Đà Nẵng, không lỗi mã hóa tiếng Việt. Số lượng thực tế xem annotation trong báo cáo HTML.</t>
  </si>
  <si>
    <t xml:space="preserve">Store_Province_02</t>
  </si>
  <si>
    <t xml:space="preserve">Pre-condition:
+ Dùng Cốc Cốc bản mới nhất trên laptop Lenovo (Windows 10), kết nối Internet ổn định
+ Chưa đăng nhập (khách vãng lai), không cần tài khoản
Step:
1. Truy cập trang Tìm siêu thị, click ô [Chọn tỉnh, thành] và chọn "Thành phố Hồ Chí Minh"
2. Quan sát ô chọn, ô phường/xã và danh sách siêu thị</t>
  </si>
  <si>
    <t xml:space="preserve">1. Ô tỉnh hiển thị "Thành phố Hồ Chí Minh"; ô [Chọn phường, xã] được mở để chọn
2. Danh sách siêu thị của Thành phố Hồ Chí Minh hiển thị đầy đủ trong thời gian hợp lý, không lỗi, không trống</t>
  </si>
  <si>
    <t xml:space="preserve">Script kiểm tra: ô tỉnh hiển thị Hồ Chí Minh, ô phường/xã hiển thị, danh sách siêu thị đổi và có dữ liệu, thời gian chọn + tải &lt; 15 giây.</t>
  </si>
  <si>
    <t xml:space="preserve">Store_Province_03</t>
  </si>
  <si>
    <t xml:space="preserve">Pre-condition:
+ Dùng Cốc Cốc bản mới nhất trên laptop Lenovo (Windows 10), kết nối Internet ổn định
+ Chưa đăng nhập (khách vãng lai), không cần tài khoản
Step:
1. Chọn tỉnh "Thành phố Hà Nội", ghi lại siêu thị đầu danh sách
2. Chọn lại tỉnh "Thành phố Đà Nẵng"</t>
  </si>
  <si>
    <t xml:space="preserve">1. Danh sách siêu thị Hà Nội hiển thị
2. Danh sách thay hoàn toàn bằng siêu thị Đà Nẵng, không còn siêu thị Hà Nội; ô [Chọn phường, xã] về trạng thái chưa chọn</t>
  </si>
  <si>
    <t xml:space="preserve">Script kiểm tra: siêu thị đầu danh sách khác Hà Nội, 10 siêu thị đầu của Đà Nẵng không chứa "Hà Nội", ô phường/xã về "Chọn phường, xã".</t>
  </si>
  <si>
    <t xml:space="preserve">Store_Province_04</t>
  </si>
  <si>
    <t xml:space="preserve">Pre-condition:
+ Dùng Cốc Cốc bản mới nhất trên laptop Lenovo (Windows 10), kết nối Internet ổn định
+ Chưa đăng nhập (khách vãng lai), không cần tài khoản
Step:
1. Click ô [Chọn tỉnh, thành], gõ "Đà Nẵng" vào ô tìm
2. Quan sát danh sách được lọc, click chọn mục "Đà Nẵng"</t>
  </si>
  <si>
    <t xml:space="preserve">1. Danh sách thu hẹp (số mục giảm) và có "Thành phố Đà Nẵng"
2. Chọn được Thành phố Đà Nẵng, ô tỉnh hiển thị Đà Nẵng, danh sách siêu thị Đà Nẵng hiển thị; không lỗi</t>
  </si>
  <si>
    <t xml:space="preserve">Website CÓ ô gõ tìm tỉnh/thành (test không bị bỏ qua). Gõ "Đà Nẵng" → danh sách được lọc (số mục hiển thị giảm); chọn được và danh sách siêu thị đổi.</t>
  </si>
  <si>
    <t xml:space="preserve">Store_Province_05</t>
  </si>
  <si>
    <t xml:space="preserve">Pre-condition:
+ Dùng Cốc Cốc bản mới nhất trên laptop Lenovo (Windows 10), kết nối Internet ổn định
+ Chưa đăng nhập (khách vãng lai), không cần tài khoản
Step:
1. Nhấn Tab đến ô [Chọn tỉnh, thành], nhấn Enter hoặc Space để mở
2. Dùng phím mũi tên lên/xuống chọn "Thành phố Đà Nẵng", nhấn Enter
3. Nhấn Tab sang ô [Chọn phường, xã]</t>
  </si>
  <si>
    <t xml:space="preserve">1. Ô được focus có viền/nhấn mạnh rõ; danh sách mở được bằng bàn phím
2. Chọn được tỉnh bằng bàn phím, danh sách siêu thị Đà Nẵng hiển thị
3. Focus chuyển sang ô phường/xã, mở và chọn được bằng bàn phím</t>
  </si>
  <si>
    <t xml:space="preserve">Bị bỏ qua: nhấn Tab tối đa 60 lần vẫn không đưa focus vào ô [Chọn tỉnh, thành] → theo script, website không hỗ trợ thao tác bàn phím cho ô này (góp ý khả năng tiếp cận). Chưa kiểm tra được bước 2-3.</t>
  </si>
  <si>
    <t xml:space="preserve">Store_Ward_01</t>
  </si>
  <si>
    <t xml:space="preserve">Pre-condition:
+ Dùng Cốc Cốc bản mới nhất trên laptop Lenovo (Windows 10), kết nối Internet ổn định
+ Chưa đăng nhập (khách vãng lai), không cần tài khoản
+ Phường/xã được chọn có ít nhất 1 siêu thị
Step:
1. Chọn tỉnh "Thành phố Hồ Chí Minh"
2. Chọn 1 phường/xã có siêu thị trong ô [Chọn phường, xã]
3. Đối chiếu địa chỉ các siêu thị trong danh sách</t>
  </si>
  <si>
    <t xml:space="preserve">1. Danh sách siêu thị Thành phố Hồ Chí Minh hiển thị
2. Ô phường/xã hiển thị đúng phường/xã đã chọn; danh sách thu hẹp lại
3. Tất cả siêu thị hiển thị có địa chỉ thuộc phường/xã đã chọn; số lượng không vượt quá số siêu thị của cả tỉnh</t>
  </si>
  <si>
    <t xml:space="preserve">Script chọn phường/xã đầu tiên, kiểm tra tối đa 50 siêu thị đều chứa tên phường/xã đã chọn và số lượng không vượt quá số siêu thị của cả tỉnh.</t>
  </si>
  <si>
    <t xml:space="preserve">Store_Ward_02</t>
  </si>
  <si>
    <t xml:space="preserve">Pre-condition:
+ Dùng Cốc Cốc bản mới nhất trên laptop Lenovo (Windows 10), kết nối Internet ổn định
+ Chưa đăng nhập (khách vãng lai), không cần tài khoản
+ Dùng tỉnh Điện Biên để tìm phường/xã không có siêu thị
Step:
1. Chọn tỉnh "Tỉnh Điện Biên"
2. Chọn lần lượt tối đa 30 phường/xã đầu danh sách đến khi gặp phường/xã không có siêu thị</t>
  </si>
  <si>
    <t xml:space="preserve">1. Danh sách phường/xã hiển thị
2. Hiển thị thông báo không có siêu thị phù hợp (hoặc gợi ý siêu thị gần nhất); không để trống không giải thích, không lỗi, không hiện siêu thị khu vực khác như thể thuộc phường/xã này</t>
  </si>
  <si>
    <t xml:space="preserve">Script dùng Tỉnh Điện Biên, duyệt tối đa 30 phường/xã đầu để tìm nơi không có siêu thị, rồi kiểm tra có thông báo không có siêu thị. Lần chạy trước lỗi môi trường khi ghi file trace (ENOENT), không phải lỗi website; lần chạy cuối Pass. Nội dung thông báo xem annotation trong báo cáo HTML.</t>
  </si>
  <si>
    <t xml:space="preserve">Store_Ward_03</t>
  </si>
  <si>
    <t xml:space="preserve">Pre-condition:
+ Dùng Cốc Cốc bản mới nhất trên laptop Lenovo (Windows 10), kết nối Internet ổn định
+ Chưa đăng nhập (khách vãng lai), không cần tài khoản
Step:
1. Truy cập trang Tìm siêu thị (chưa chọn tỉnh)
2. Click ô [Chọn phường, xã]</t>
  </si>
  <si>
    <t xml:space="preserve">1. Trang hiển thị bình thường
2. Ô không mở được (vô hiệu) hoặc danh sách rỗng kèm gợi ý chọn tỉnh trước; không hiển thị phường/xã bất kỳ, không lỗi</t>
  </si>
  <si>
    <t xml:space="preserve">Script kiểm tra ô [Chọn phường, xã] hiển thị rồi click: không có mục phường/xã nào hiện ra (số mục = 0).</t>
  </si>
  <si>
    <t xml:space="preserve">Store_Ward_04</t>
  </si>
  <si>
    <t xml:space="preserve">Pre-condition:
+ Dùng Cốc Cốc bản mới nhất trên laptop Lenovo (Windows 10), kết nối Internet ổn định
+ Chưa đăng nhập (khách vãng lai), không cần tài khoản
Step:
1. Chọn tỉnh "Thành phố Hà Nội", chọn 1 phường/xã
2. Chọn lại tỉnh "Thành phố Đà Nẵng"
3. Mở ô [Chọn phường, xã]</t>
  </si>
  <si>
    <t xml:space="preserve">1. Danh sách siêu thị Hà Nội thu hẹp theo phường/xã
2. Ô phường/xã được đặt lại về "Chọn phường, xã"; danh sách chuyển sang toàn bộ siêu thị Đà Nẵng, không giữ bộ lọc phường/xã của Hà Nội
3. Danh sách chỉ có phường/xã của Đà Nẵng</t>
  </si>
  <si>
    <t xml:space="preserve">Script kiểm tra sau khi đổi sang Đà Nẵng: ô phường/xã về "Chọn phường, xã", 10 siêu thị đầu không chứa "Hà Nội", danh sách phường/xã có dữ liệu và không lẫn phường/xã của Hà Nội.</t>
  </si>
  <si>
    <t xml:space="preserve">Store_Ward_05</t>
  </si>
  <si>
    <t xml:space="preserve">Pre-condition:
+ Dùng Cốc Cốc bản mới nhất trên laptop Lenovo (Windows 10), kết nối Internet ổn định
+ Chưa đăng nhập (khách vãng lai), không cần tài khoản
Step:
1. Chọn tỉnh "Thành phố Hồ Chí Minh" và 1 phường/xã
2. Chọn lại mục "Chọn phường, xã" (nếu có) hoặc chọn lại tỉnh</t>
  </si>
  <si>
    <t xml:space="preserve">1. Danh sách siêu thị thu hẹp theo phường/xã
2. Danh sách trở về toàn bộ siêu thị của tỉnh; không lỗi</t>
  </si>
  <si>
    <t xml:space="preserve">Website không có mục bỏ chọn phường/xã nên script chọn lại tỉnh Hồ Chí Minh; số siêu thị trở về bằng toàn tỉnh ban đầu. Góp ý usability: nên có nút bỏ chọn phường/xã.</t>
  </si>
  <si>
    <t xml:space="preserve">Store_Ward_06</t>
  </si>
  <si>
    <t xml:space="preserve">Pre-condition:
+ Dùng Cốc Cốc bản mới nhất trên laptop Lenovo (Windows 10), kết nối Internet ổn định
+ Chưa đăng nhập (khách vãng lai), không cần tài khoản
Step:
1. Chọn tỉnh "Thành phố Hồ Chí Minh", click ô [Chọn phường, xã] và kiểm tra có ô nhập để gõ tìm hay không
2. Gõ có dấu "Bến Thành"
3. Xóa, gõ không dấu, chữ thường "ben thanh"
4. Xóa, gõ chuỗi không tồn tại "zzz"</t>
  </si>
  <si>
    <t xml:space="preserve">1. Danh sách phường/xã của TP. Hồ Chí Minh xổ xuống, có ô nhập để gõ tìm
2. Danh sách hiện "Phường Bến Thành"
3. Vẫn tìm ra "Phường Bến Thành" (hoặc ghi nhận không hỗ trợ không dấu)
4. Không có kết quả, hiển thị "Không tìm thấy kết quả phù hợp" hoặc danh sách trống; không lỗi</t>
  </si>
  <si>
    <t xml:space="preserve">Bị bỏ qua: sau khi chọn TP.HCM và mở ô [Chọn phường, xã], website không có ô nhập để gõ tìm → chưa thực hiện được 3 trường hợp ("Bến Thành", "ben thanh", "zzz"). Góp ý usability: nên có ô gõ tìm nhanh phường/xã.</t>
  </si>
  <si>
    <t xml:space="preserve">Store_Nearby_01</t>
  </si>
  <si>
    <t xml:space="preserve">Pre-condition:
+ Dùng Cốc Cốc bản mới nhất trên laptop Lenovo (Windows 10), kết nối Internet ổn định
+ Chưa đăng nhập (khách vãng lai), không cần tài khoản
+ Quyền vị trí của dienmayxanh.com ở trạng thái mặc định "Hỏi" (đặt lại trong biểu tượng ổ khóa &gt; Cài đặt trang web)
Step:
1. Truy cập trang Tìm siêu thị
2. Click nút [Hoặc xem siêu thị gần bạn]</t>
  </si>
  <si>
    <t xml:space="preserve">1. Trang hiển thị bình thường
2. Cốc Cốc hiển thị hộp thoại xin quyền vị trí của www.dienmayxanh.com với nút Cho phép/Chặn; trang chưa hiển thị kết quả cho đến khi người dùng chọn</t>
  </si>
  <si>
    <t xml:space="preserve">Script giả lập (spy) hàm định vị của trình duyệt: sau khi bấm nút, trang có gọi yêu cầu vị trí. Hộp thoại xin quyền của trình duyệt không bắt được tự động → cần xác nhận bằng mắt khi quay video.</t>
  </si>
  <si>
    <t xml:space="preserve">Store_Nearby_02</t>
  </si>
  <si>
    <t xml:space="preserve">Pre-condition:
+ Dùng Cốc Cốc bản mới nhất trên laptop Lenovo (Windows 10), kết nối Internet ổn định
+ Chưa đăng nhập (khách vãng lai), không cần tài khoản
+ Vị trí giả lập tại Quận 1, TP.HCM (10.7769, 106.7009); quyền vị trí của trang đã được cấp
Step:
1. Click nút [Hoặc xem siêu thị gần bạn]
2. Quan sát danh sách kết quả</t>
  </si>
  <si>
    <t xml:space="preserve">1. Danh sách siêu thị thay đổi sau khi bấm nút, không treo
2. Hiển thị siêu thị gần vị trí hiện tại, địa chỉ thuộc khu vực TP. Hồ Chí Minh; siêu thị gần hơn nằm trước (nếu có khoảng cách); không lỗi</t>
  </si>
  <si>
    <t xml:space="preserve">Script giả lập vị trí Quận 1, TP.HCM và cấp sẵn quyền. Kết quả: danh sách đổi, 10 siêu thị đầu đều thuộc TP.HCM; nếu có khoảng cách thì xếp tăng dần.</t>
  </si>
  <si>
    <t xml:space="preserve">Store_Nearby_03</t>
  </si>
  <si>
    <t xml:space="preserve">Pre-condition:
+ Dùng Cốc Cốc bản mới nhất trên laptop Lenovo (Windows 10), kết nối Internet ổn định
+ Chưa đăng nhập (khách vãng lai), không cần tài khoản
+ Đã cho phép quyền vị trí cho trang
Step:
1. Click nhanh 5 lần liên tiếp vào nút [Hoặc xem siêu thị gần bạn]
2. Quan sát danh sách kết quả</t>
  </si>
  <si>
    <t xml:space="preserve">1. Trang không treo, không hiện nhiều thông báo/hộp thoại chồng nhau
2. Danh sách hiển thị 1 lần, không có siêu thị bị nhân đôi</t>
  </si>
  <si>
    <t xml:space="preserve">Script click 5 lần liên tiếp bằng JavaScript vào nút. Kết quả: không có siêu thị trùng lặp, không quá 1 hộp thoại hiện ra, nút vẫn hiển thị.</t>
  </si>
  <si>
    <t xml:space="preserve">Store_Nearby_04</t>
  </si>
  <si>
    <t xml:space="preserve">Pre-condition:
+ Dùng Cốc Cốc bản mới nhất trên laptop Lenovo (Windows 10), kết nối Internet ổn định
+ Chưa đăng nhập (khách vãng lai), không cần tài khoản
Step:
1. Sau khi có kết quả "gần bạn", chọn tỉnh "Thành phố Hà Nội"
2. Chọn 1 phường/xã của Hà Nội</t>
  </si>
  <si>
    <t xml:space="preserve">1. Danh sách chuyển sang siêu thị Hà Nội, không còn kết quả "gần bạn" cũ; ô tỉnh hiển thị Hà Nội
2. Danh sách thu hẹp theo phường/xã đã chọn; ô chọn phản ánh đúng lựa chọn thủ công</t>
  </si>
  <si>
    <t xml:space="preserve">Script kiểm tra sau khi chọn Hà Nội: danh sách đổi khác kết quả "gần bạn", 10 siêu thị đầu đều thuộc Hà Nội, ô tỉnh hiển thị Hà Nội; chọn phường/xã đầu tiên thì ô phường/xã hiển thị đúng.</t>
  </si>
  <si>
    <t xml:space="preserve">Store_List_01</t>
  </si>
  <si>
    <t xml:space="preserve">Pre-condition:
+ Dùng Cốc Cốc bản mới nhất trên laptop Lenovo (Windows 10), kết nối Internet ổn định
+ Chưa đăng nhập (khách vãng lai), không cần tài khoản
Step:
1. Chọn tỉnh "Thành phố Đà Nẵng", lấy mẫu 10 siêu thị đầu danh sách
2. Đọc địa chỉ từng siêu thị</t>
  </si>
  <si>
    <t xml:space="preserve">1. Danh sách siêu thị Đà Nẵng hiển thị
2. 100% địa chỉ thuộc Thành phố Đà Nẵng, không có siêu thị của tỉnh khác</t>
  </si>
  <si>
    <t xml:space="preserve">Script lấy mẫu 10 siêu thị đầu của Đà Nẵng: tất cả địa chỉ đều chứa "Đà Nẵng".</t>
  </si>
  <si>
    <t xml:space="preserve">Store_List_02</t>
  </si>
  <si>
    <t xml:space="preserve">Pre-condition:
+ Dùng Cốc Cốc bản mới nhất trên laptop Lenovo (Windows 10), kết nối Internet ổn định
+ Chưa đăng nhập (khách vãng lai), không cần tài khoản
+ Khu vực: Thành phố Hồ Chí Minh, phường/xã đầu tiên trong danh sách
Step:
1. Chọn tỉnh "Thành phố Hồ Chí Minh" và phường/xã đầu tiên trong danh sách
2. Lấy 5 siêu thị đầu danh sách, quan sát tên/biểu tượng thương hiệu từng siêu thị, mở trang chi tiết từng siêu thị để đối chiếu</t>
  </si>
  <si>
    <t xml:space="preserve">1. Danh sách siêu thị hiển thị
2. Mỗi siêu thị ghi đúng thương hiệu (tên/logo) và khớp với trang chi tiết</t>
  </si>
  <si>
    <t xml:space="preserve">LỖI: siêu thị ở danh sách ghi thương hiệu "Thế giới di động" nhưng trang chi tiết có tiêu đề "Điện máy XANH 176 Nguyễn Tri Phương, Phường An Đông, Thành phố Hồ Chí Minh, Việt Nam" → thương hiệu không khớp. Cần đối chiếu thủ công trước khi báo lỗi; có trace trong test-results.</t>
  </si>
  <si>
    <t xml:space="preserve">Store_Detail_01</t>
  </si>
  <si>
    <t xml:space="preserve">Pre-condition:
+ Dùng Cốc Cốc bản mới nhất trên laptop Lenovo (Windows 10), kết nối Internet ổn định
+ Chưa đăng nhập (khách vãng lai), không cần tài khoản
Step:
1. Chọn khu vực có siêu thị, click vào tên 1 siêu thị trong danh sách
2. Quan sát URL và tiêu đề trang</t>
  </si>
  <si>
    <t xml:space="preserve">1. Chuyển đến trang chi tiết siêu thị
2. URL dạng /dien-may-...-id-n; tiêu đề dạng "Điện máy XANH &lt;địa chỉ&gt;" khớp mục đã click; không 404</t>
  </si>
  <si>
    <t xml:space="preserve">Script kiểm tra URL dạng -id-n, tiêu đề chứa Điện máy XANH/Thế Giới Di Động, trang không có chữ 404.</t>
  </si>
  <si>
    <t xml:space="preserve">Store_Detail_02</t>
  </si>
  <si>
    <t xml:space="preserve">Pre-condition:
+ Dùng Cốc Cốc bản mới nhất trên laptop Lenovo (Windows 10), kết nối Internet ổn định
+ Chưa đăng nhập (khách vãng lai), không cần tài khoản
Step:
1. Mở trang chi tiết 1 siêu thị, quan sát breadcrumb
2. Click "Hệ thống siêu thị"
3. Quay lại trang chi tiết, click tên tỉnh/thành trong breadcrumb</t>
  </si>
  <si>
    <t xml:space="preserve">1. Breadcrumb dạng "Trang chủ › Hệ thống siêu thị › &lt;Tỉnh/Thành&gt; › &lt;Phường/Xã&gt;" đúng với siêu thị đang xem
2. Chuyển về trang Hệ thống siêu thị (/he-thong-sieu-thi-dien-may)
3. Chuyển đến trang/danh sách của tỉnh/thành đó; không 404</t>
  </si>
  <si>
    <t xml:space="preserve">Script kiểm tra breadcrumb có Trang chủ, Hệ thống siêu thị, Hồ Chí Minh; click "Hệ thống siêu thị" về đúng URL; quay lại, click tên tỉnh → URL chứa he-thong-sieu-thi, tiêu đề không 404.</t>
  </si>
  <si>
    <t xml:space="preserve">Store_Detail_03</t>
  </si>
  <si>
    <t xml:space="preserve">Pre-condition:
+ Dùng Cốc Cốc bản mới nhất trên laptop Lenovo (Windows 10), kết nối Internet ổn định
+ Chưa đăng nhập (khách vãng lai), không cần tài khoản
Step:
1. Mở trang chi tiết 1 siêu thị
2. Click liên kết "Xem chỉ đường đến siêu thị này"</t>
  </si>
  <si>
    <t xml:space="preserve">1. Trang chi tiết hiển thị
2. Mở Google Maps (tab mới), đích đến đúng vị trí/địa chỉ siêu thị; trang chi tiết vẫn còn nguyên ở tab cũ</t>
  </si>
  <si>
    <t xml:space="preserve">Script kiểm tra href của liên kết trỏ tới Google Maps; click → mở Google Maps, trang chi tiết giữ nguyên URL. Lần chạy trước bị quá thời gian chờ (timeout 120 giây); lần chạy cuối Pass.</t>
  </si>
  <si>
    <t xml:space="preserve">Store_Detail_04</t>
  </si>
  <si>
    <t xml:space="preserve">Pre-condition:
+ Dùng Cốc Cốc bản mới nhất trên laptop Lenovo (Windows 10), kết nối Internet ổn định
+ Chưa đăng nhập (khách vãng lai), không cần tài khoản
Step:
1. Mở trang chi tiết 1 siêu thị, cuộn đến mục "Các siêu thị Điện máy XANH khác tại ..."
2. Click vào 1 siêu thị trong mục này</t>
  </si>
  <si>
    <t xml:space="preserve">1. Mục hiển thị; danh sách không chứa chính siêu thị đang xem; các siêu thị đều thuộc cùng tỉnh/thành
2. Mở đúng trang chi tiết của siêu thị được click</t>
  </si>
  <si>
    <t xml:space="preserve">Script kiểm tra mục hiển thị, có ít nhất 1 siêu thị khác, danh sách không chứa URL siêu thị đang xem; click siêu thị đầu → mở đúng URL, tiêu đề Điện máy XANH. Việc các siêu thị cùng tỉnh/thành chưa kiểm tra tự động.</t>
  </si>
  <si>
    <t xml:space="preserve">Store_Detail_05</t>
  </si>
  <si>
    <t xml:space="preserve">Pre-condition:
+ Dùng Cốc Cốc bản mới nhất trên laptop Lenovo (Windows 10), kết nối Internet ổn định
+ Chưa đăng nhập (khách vãng lai), không cần tài khoản
Step:
1. Chọn tỉnh "Thành phố Hà Nội" và 1 phường/xã, click vào 1 siêu thị
2. Nhấn nút Back của Cốc Cốc</t>
  </si>
  <si>
    <t xml:space="preserve">1. Trang chi tiết hiển thị
2. Quay về trang Hệ thống siêu thị, danh sách giữ nguyên khu vực vừa chọn (khuyến nghị); không trắng trang, không lỗi</t>
  </si>
  <si>
    <t xml:space="preserve">Script kiểm tra sau Back: về trang Hệ thống siêu thị, hiển thị "Tìm siêu thị", ô tỉnh vẫn giữ "Hà Nội". Việc giữ phường/xã chỉ ghi nhận (xem annotation); nếu bị reset thì là góp ý usability.</t>
  </si>
</sst>
</file>

<file path=xl/styles.xml><?xml version="1.0" encoding="utf-8"?>
<styleSheet xmlns="http://schemas.openxmlformats.org/spreadsheetml/2006/main">
  <numFmts count="3">
    <numFmt numFmtId="164" formatCode="General"/>
    <numFmt numFmtId="165" formatCode="General"/>
    <numFmt numFmtId="166" formatCode="dd/mm/yyyy"/>
  </numFmts>
  <fonts count="18">
    <font>
      <sz val="11"/>
      <color theme="1"/>
      <name val="Calibri"/>
      <family val="2"/>
      <charset val="1"/>
    </font>
    <font>
      <sz val="10"/>
      <name val="Arial"/>
      <family val="0"/>
    </font>
    <font>
      <sz val="10"/>
      <name val="Arial"/>
      <family val="0"/>
    </font>
    <font>
      <sz val="10"/>
      <name val="Arial"/>
      <family val="0"/>
    </font>
    <font>
      <sz val="11"/>
      <color rgb="FF000000"/>
      <name val="Calibri"/>
      <family val="0"/>
      <charset val="1"/>
    </font>
    <font>
      <b val="true"/>
      <sz val="10"/>
      <color theme="1"/>
      <name val="Arial"/>
      <family val="0"/>
      <charset val="1"/>
    </font>
    <font>
      <b val="true"/>
      <sz val="10"/>
      <color theme="1"/>
      <name val="Calibri"/>
      <family val="0"/>
      <charset val="1"/>
    </font>
    <font>
      <sz val="10"/>
      <color theme="1"/>
      <name val="Arial"/>
      <family val="0"/>
      <charset val="1"/>
    </font>
    <font>
      <sz val="10"/>
      <color rgb="FF000000"/>
      <name val="Tahoma"/>
      <family val="0"/>
      <charset val="1"/>
    </font>
    <font>
      <sz val="10"/>
      <color theme="1"/>
      <name val="Tahoma"/>
      <family val="0"/>
      <charset val="1"/>
    </font>
    <font>
      <b val="true"/>
      <sz val="10"/>
      <color theme="1"/>
      <name val="Tahoma"/>
      <family val="0"/>
      <charset val="1"/>
    </font>
    <font>
      <sz val="10"/>
      <color rgb="FFFF0000"/>
      <name val="Tahoma"/>
      <family val="0"/>
      <charset val="1"/>
    </font>
    <font>
      <i val="true"/>
      <sz val="10"/>
      <color rgb="FF008000"/>
      <name val="Tahoma"/>
      <family val="2"/>
      <charset val="1"/>
    </font>
    <font>
      <i val="true"/>
      <sz val="10"/>
      <color rgb="FF008000"/>
      <name val="Tahoma"/>
      <family val="0"/>
      <charset val="1"/>
    </font>
    <font>
      <b val="true"/>
      <sz val="10"/>
      <color rgb="FF000000"/>
      <name val="Tahoma"/>
      <family val="0"/>
      <charset val="1"/>
    </font>
    <font>
      <b val="true"/>
      <sz val="10"/>
      <color rgb="FFFFFFFF"/>
      <name val="Tahoma"/>
      <family val="0"/>
      <charset val="1"/>
    </font>
    <font>
      <b val="true"/>
      <sz val="10"/>
      <color rgb="FFFF0000"/>
      <name val="Tahoma"/>
      <family val="0"/>
      <charset val="1"/>
    </font>
    <font>
      <sz val="10"/>
      <color theme="1"/>
      <name val="Calibri"/>
      <family val="0"/>
      <charset val="1"/>
    </font>
  </fonts>
  <fills count="5">
    <fill>
      <patternFill patternType="none"/>
    </fill>
    <fill>
      <patternFill patternType="gray125"/>
    </fill>
    <fill>
      <patternFill patternType="solid">
        <fgColor rgb="FF00CCFF"/>
        <bgColor rgb="FF33CCCC"/>
      </patternFill>
    </fill>
    <fill>
      <patternFill patternType="solid">
        <fgColor theme="0"/>
        <bgColor rgb="FFFFFFCC"/>
      </patternFill>
    </fill>
    <fill>
      <patternFill patternType="solid">
        <fgColor rgb="FF000080"/>
        <bgColor rgb="FF000080"/>
      </patternFill>
    </fill>
  </fills>
  <borders count="12">
    <border diagonalUp="false" diagonalDown="false">
      <left/>
      <right/>
      <top/>
      <bottom/>
      <diagonal/>
    </border>
    <border diagonalUp="false" diagonalDown="false">
      <left style="hair"/>
      <right style="hair"/>
      <top style="hair"/>
      <bottom style="hair"/>
      <diagonal/>
    </border>
    <border diagonalUp="false" diagonalDown="false">
      <left/>
      <right/>
      <top/>
      <bottom style="medium"/>
      <diagonal/>
    </border>
    <border diagonalUp="false" diagonalDown="false">
      <left style="medium"/>
      <right/>
      <top/>
      <bottom style="thin"/>
      <diagonal/>
    </border>
    <border diagonalUp="false" diagonalDown="false">
      <left style="thin"/>
      <right style="thin"/>
      <top style="thin"/>
      <bottom style="thin"/>
      <diagonal/>
    </border>
    <border diagonalUp="false" diagonalDown="false">
      <left style="medium"/>
      <right/>
      <top style="thin"/>
      <bottom style="thin"/>
      <diagonal/>
    </border>
    <border diagonalUp="false" diagonalDown="false">
      <left style="medium"/>
      <right/>
      <top style="thin"/>
      <bottom style="mediu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style="thin"/>
      <diagonal/>
    </border>
    <border diagonalUp="false" diagonalDown="false">
      <left/>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5" fillId="2" borderId="1" xfId="20" applyFont="true" applyBorder="true" applyAlignment="true" applyProtection="false">
      <alignment horizontal="center" vertical="center" textRotation="0" wrapText="true" indent="0" shrinkToFit="false"/>
      <protection locked="true" hidden="false"/>
    </xf>
    <xf numFmtId="164" fontId="6" fillId="0" borderId="0" xfId="20" applyFont="true" applyBorder="false" applyAlignment="true" applyProtection="false">
      <alignment horizontal="center" vertical="center" textRotation="0" wrapText="false" indent="0" shrinkToFit="false"/>
      <protection locked="true" hidden="false"/>
    </xf>
    <xf numFmtId="164" fontId="7" fillId="0" borderId="1" xfId="20" applyFont="true" applyBorder="true" applyAlignment="true" applyProtection="false">
      <alignment horizontal="left" vertical="center" textRotation="0" wrapText="true" indent="0" shrinkToFit="false"/>
      <protection locked="true" hidden="false"/>
    </xf>
    <xf numFmtId="164" fontId="7" fillId="0" borderId="1" xfId="20" applyFont="true" applyBorder="true" applyAlignment="true" applyProtection="false">
      <alignment horizontal="general" vertical="center" textRotation="0" wrapText="true" indent="0" shrinkToFit="false"/>
      <protection locked="true" hidden="false"/>
    </xf>
    <xf numFmtId="164" fontId="7" fillId="3" borderId="1" xfId="20" applyFont="true" applyBorder="true" applyAlignment="true" applyProtection="false">
      <alignment horizontal="left" vertical="center" textRotation="0" wrapText="true" indent="0" shrinkToFit="false"/>
      <protection locked="true" hidden="false"/>
    </xf>
    <xf numFmtId="164" fontId="7" fillId="3" borderId="1" xfId="20" applyFont="true" applyBorder="true" applyAlignment="true" applyProtection="false">
      <alignment horizontal="general" vertical="center" textRotation="0" wrapText="true" indent="0" shrinkToFit="false"/>
      <protection locked="true" hidden="false"/>
    </xf>
    <xf numFmtId="164" fontId="8" fillId="3" borderId="2" xfId="20" applyFont="true" applyBorder="true" applyAlignment="false" applyProtection="false">
      <alignment horizontal="general" vertical="bottom" textRotation="0" wrapText="false" indent="0" shrinkToFit="false"/>
      <protection locked="true" hidden="false"/>
    </xf>
    <xf numFmtId="164" fontId="8" fillId="3" borderId="0" xfId="20" applyFont="true" applyBorder="false" applyAlignment="true" applyProtection="false">
      <alignment horizontal="general" vertical="bottom" textRotation="0" wrapText="true" indent="0" shrinkToFit="false"/>
      <protection locked="true" hidden="false"/>
    </xf>
    <xf numFmtId="164" fontId="9" fillId="3" borderId="0" xfId="20" applyFont="true" applyBorder="false" applyAlignment="true" applyProtection="false">
      <alignment horizontal="general" vertical="bottom" textRotation="0" wrapText="true" indent="0" shrinkToFit="false"/>
      <protection locked="true" hidden="false"/>
    </xf>
    <xf numFmtId="164" fontId="10" fillId="3" borderId="0" xfId="20" applyFont="true" applyBorder="false" applyAlignment="true" applyProtection="false">
      <alignment horizontal="general" vertical="bottom" textRotation="0" wrapText="true" indent="0" shrinkToFit="false"/>
      <protection locked="true" hidden="false"/>
    </xf>
    <xf numFmtId="164" fontId="11" fillId="3" borderId="0" xfId="20" applyFont="true" applyBorder="false" applyAlignment="true" applyProtection="false">
      <alignment horizontal="general" vertical="bottom" textRotation="0" wrapText="true" indent="0" shrinkToFit="false"/>
      <protection locked="true" hidden="false"/>
    </xf>
    <xf numFmtId="164" fontId="8" fillId="3" borderId="0" xfId="20" applyFont="true" applyBorder="false" applyAlignment="false" applyProtection="false">
      <alignment horizontal="general" vertical="bottom" textRotation="0" wrapText="false" indent="0" shrinkToFit="false"/>
      <protection locked="true" hidden="false"/>
    </xf>
    <xf numFmtId="164" fontId="10" fillId="3" borderId="3" xfId="20" applyFont="true" applyBorder="true" applyAlignment="true" applyProtection="false">
      <alignment horizontal="left" vertical="bottom" textRotation="0" wrapText="true" indent="0" shrinkToFit="false"/>
      <protection locked="true" hidden="false"/>
    </xf>
    <xf numFmtId="164" fontId="12" fillId="3" borderId="4" xfId="20" applyFont="true" applyBorder="true" applyAlignment="true" applyProtection="false">
      <alignment horizontal="left" vertical="center" textRotation="0" wrapText="true" indent="0" shrinkToFit="false"/>
      <protection locked="true" hidden="false"/>
    </xf>
    <xf numFmtId="164" fontId="10" fillId="3" borderId="5" xfId="20" applyFont="true" applyBorder="true" applyAlignment="true" applyProtection="false">
      <alignment horizontal="left" vertical="bottom" textRotation="0" wrapText="true" indent="0" shrinkToFit="false"/>
      <protection locked="true" hidden="false"/>
    </xf>
    <xf numFmtId="164" fontId="13" fillId="3" borderId="4" xfId="20" applyFont="true" applyBorder="true" applyAlignment="true" applyProtection="false">
      <alignment horizontal="left" vertical="center" textRotation="0" wrapText="true" indent="0" shrinkToFit="false"/>
      <protection locked="true" hidden="false"/>
    </xf>
    <xf numFmtId="164" fontId="14" fillId="3" borderId="5" xfId="20" applyFont="true" applyBorder="true" applyAlignment="true" applyProtection="false">
      <alignment horizontal="center" vertical="center" textRotation="0" wrapText="false" indent="0" shrinkToFit="false"/>
      <protection locked="true" hidden="false"/>
    </xf>
    <xf numFmtId="164" fontId="14" fillId="3" borderId="4" xfId="20" applyFont="true" applyBorder="true" applyAlignment="true" applyProtection="false">
      <alignment horizontal="center" vertical="center" textRotation="0" wrapText="true" indent="0" shrinkToFit="false"/>
      <protection locked="true" hidden="false"/>
    </xf>
    <xf numFmtId="164" fontId="14" fillId="3" borderId="4" xfId="20" applyFont="true" applyBorder="true" applyAlignment="true" applyProtection="false">
      <alignment horizontal="general" vertical="center" textRotation="0" wrapText="true" indent="0" shrinkToFit="false"/>
      <protection locked="true" hidden="false"/>
    </xf>
    <xf numFmtId="164" fontId="11" fillId="3" borderId="0" xfId="20" applyFont="true" applyBorder="false" applyAlignment="true" applyProtection="false">
      <alignment horizontal="center" vertical="bottom" textRotation="0" wrapText="true" indent="0" shrinkToFit="false"/>
      <protection locked="true" hidden="false"/>
    </xf>
    <xf numFmtId="165" fontId="8" fillId="3" borderId="6" xfId="20" applyFont="true" applyBorder="true" applyAlignment="true" applyProtection="false">
      <alignment horizontal="center" vertical="center" textRotation="0" wrapText="false" indent="0" shrinkToFit="false"/>
      <protection locked="true" hidden="false"/>
    </xf>
    <xf numFmtId="165" fontId="8" fillId="3" borderId="4" xfId="20" applyFont="true" applyBorder="true" applyAlignment="true" applyProtection="false">
      <alignment horizontal="center" vertical="center" textRotation="0" wrapText="false" indent="0" shrinkToFit="false"/>
      <protection locked="true" hidden="false"/>
    </xf>
    <xf numFmtId="165" fontId="8" fillId="3" borderId="4" xfId="20" applyFont="true" applyBorder="true" applyAlignment="true" applyProtection="false">
      <alignment horizontal="general" vertical="center" textRotation="0" wrapText="true" indent="0" shrinkToFit="false"/>
      <protection locked="true" hidden="false"/>
    </xf>
    <xf numFmtId="165" fontId="8" fillId="3" borderId="4" xfId="20" applyFont="true" applyBorder="true" applyAlignment="true" applyProtection="false">
      <alignment horizontal="center" vertical="center" textRotation="0" wrapText="true" indent="0" shrinkToFit="false"/>
      <protection locked="true" hidden="false"/>
    </xf>
    <xf numFmtId="164" fontId="8" fillId="3" borderId="0" xfId="20" applyFont="true" applyBorder="false" applyAlignment="true" applyProtection="false">
      <alignment horizontal="center" vertical="bottom" textRotation="0" wrapText="true" indent="0" shrinkToFit="false"/>
      <protection locked="true" hidden="false"/>
    </xf>
    <xf numFmtId="164" fontId="9" fillId="3" borderId="0" xfId="20" applyFont="true" applyBorder="false" applyAlignment="true" applyProtection="false">
      <alignment horizontal="center" vertical="bottom" textRotation="0" wrapText="true" indent="0" shrinkToFit="false"/>
      <protection locked="true" hidden="false"/>
    </xf>
    <xf numFmtId="164" fontId="15" fillId="4" borderId="7" xfId="20" applyFont="true" applyBorder="true" applyAlignment="true" applyProtection="false">
      <alignment horizontal="center" vertical="center" textRotation="0" wrapText="true" indent="0" shrinkToFit="false"/>
      <protection locked="true" hidden="false"/>
    </xf>
    <xf numFmtId="164" fontId="15" fillId="4" borderId="8" xfId="20" applyFont="true" applyBorder="true" applyAlignment="true" applyProtection="false">
      <alignment horizontal="center" vertical="center" textRotation="0" wrapText="true" indent="0" shrinkToFit="false"/>
      <protection locked="true" hidden="false"/>
    </xf>
    <xf numFmtId="164" fontId="15" fillId="4" borderId="9" xfId="20" applyFont="true" applyBorder="true" applyAlignment="true" applyProtection="false">
      <alignment horizontal="center" vertical="center" textRotation="0" wrapText="true" indent="0" shrinkToFit="false"/>
      <protection locked="true" hidden="false"/>
    </xf>
    <xf numFmtId="164" fontId="15" fillId="4" borderId="10" xfId="20" applyFont="true" applyBorder="true" applyAlignment="true" applyProtection="false">
      <alignment horizontal="center" vertical="center" textRotation="0" wrapText="true" indent="0" shrinkToFit="false"/>
      <protection locked="true" hidden="false"/>
    </xf>
    <xf numFmtId="164" fontId="16" fillId="3" borderId="0" xfId="20" applyFont="true" applyBorder="false" applyAlignment="true" applyProtection="false">
      <alignment horizontal="center" vertical="center" textRotation="0" wrapText="true" indent="0" shrinkToFit="false"/>
      <protection locked="true" hidden="false"/>
    </xf>
    <xf numFmtId="164" fontId="9" fillId="3" borderId="11" xfId="20" applyFont="true" applyBorder="true" applyAlignment="true" applyProtection="false">
      <alignment horizontal="general" vertical="top" textRotation="0" wrapText="true" indent="0" shrinkToFit="false"/>
      <protection locked="true" hidden="false"/>
    </xf>
    <xf numFmtId="164" fontId="17" fillId="0" borderId="4" xfId="20" applyFont="true" applyBorder="true" applyAlignment="true" applyProtection="false">
      <alignment horizontal="left" vertical="top" textRotation="0" wrapText="true" indent="0" shrinkToFit="false"/>
      <protection locked="true" hidden="false"/>
    </xf>
    <xf numFmtId="164" fontId="9" fillId="3" borderId="4" xfId="20" applyFont="true" applyBorder="true" applyAlignment="true" applyProtection="false">
      <alignment horizontal="general" vertical="top" textRotation="0" wrapText="true" indent="0" shrinkToFit="false"/>
      <protection locked="true" hidden="false"/>
    </xf>
    <xf numFmtId="166" fontId="9" fillId="3" borderId="4" xfId="2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5">
    <dxf>
      <fill>
        <patternFill patternType="solid">
          <fgColor rgb="FF00CCF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8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2" displayName="Table_2" ref="A8:H36" headerRowCount="1" totalsRowCount="0" totalsRowShown="0">
  <tableColumns count="8">
    <tableColumn id="1" name="ID"/>
    <tableColumn id="2" name="Test Case Description"/>
    <tableColumn id="3" name="Test Case Procedure"/>
    <tableColumn id="4" name="Expected Output"/>
    <tableColumn id="5" name="Inter-test case Dependence"/>
    <tableColumn id="6" name="Result"/>
    <tableColumn id="7" name="Test date"/>
    <tableColumn id="8" name="Not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9"/>
  <sheetViews>
    <sheetView showFormulas="false" showGridLines="true" showRowColHeaders="true" showZeros="true" rightToLeft="false" tabSelected="false" showOutlineSymbols="true" defaultGridColor="true" view="normal" topLeftCell="A1" colorId="64" zoomScale="83" zoomScaleNormal="83" zoomScalePageLayoutView="100" workbookViewId="0">
      <pane xSplit="0" ySplit="1" topLeftCell="A2" activePane="bottomLeft" state="frozen"/>
      <selection pane="topLeft" activeCell="A1" activeCellId="0" sqref="A1"/>
      <selection pane="bottomLeft" activeCell="D9" activeCellId="0" sqref="D9"/>
    </sheetView>
  </sheetViews>
  <sheetFormatPr defaultColWidth="14.4453125" defaultRowHeight="14.25" zeroHeight="false" outlineLevelRow="0" outlineLevelCol="0"/>
  <cols>
    <col collapsed="false" customWidth="true" hidden="false" outlineLevel="0" max="2" min="1" style="1" width="30"/>
    <col collapsed="false" customWidth="true" hidden="false" outlineLevel="0" max="3" min="3" style="1" width="34"/>
    <col collapsed="false" customWidth="true" hidden="false" outlineLevel="0" max="4" min="4" style="1" width="72.56"/>
    <col collapsed="false" customWidth="true" hidden="false" outlineLevel="0" max="5" min="5" style="1" width="19.56"/>
    <col collapsed="false" customWidth="true" hidden="false" outlineLevel="0" max="6" min="6" style="1" width="50"/>
    <col collapsed="false" customWidth="true" hidden="false" outlineLevel="0" max="26" min="7" style="1" width="9.11"/>
    <col collapsed="false" customWidth="false" hidden="false" outlineLevel="0" max="16384" min="27" style="1" width="14.44"/>
  </cols>
  <sheetData>
    <row r="1" customFormat="false" ht="25.5" hidden="false" customHeight="true" outlineLevel="0" collapsed="false">
      <c r="A1" s="2" t="s">
        <v>0</v>
      </c>
      <c r="B1" s="2" t="s">
        <v>1</v>
      </c>
      <c r="C1" s="2" t="s">
        <v>2</v>
      </c>
      <c r="D1" s="2" t="s">
        <v>3</v>
      </c>
      <c r="E1" s="2" t="s">
        <v>4</v>
      </c>
      <c r="F1" s="2" t="s">
        <v>5</v>
      </c>
      <c r="G1" s="3"/>
      <c r="H1" s="3"/>
      <c r="I1" s="3"/>
      <c r="J1" s="3"/>
      <c r="K1" s="3"/>
      <c r="L1" s="3"/>
      <c r="M1" s="3"/>
      <c r="N1" s="3"/>
      <c r="O1" s="3"/>
      <c r="P1" s="3"/>
      <c r="Q1" s="3"/>
      <c r="R1" s="3"/>
      <c r="S1" s="3"/>
      <c r="T1" s="3"/>
      <c r="U1" s="3"/>
      <c r="V1" s="3"/>
      <c r="W1" s="3"/>
      <c r="X1" s="3"/>
      <c r="Y1" s="3"/>
      <c r="Z1" s="3"/>
    </row>
    <row r="2" customFormat="false" ht="31.5" hidden="false" customHeight="true" outlineLevel="0" collapsed="false">
      <c r="A2" s="4" t="s">
        <v>6</v>
      </c>
      <c r="B2" s="4" t="s">
        <v>7</v>
      </c>
      <c r="C2" s="4" t="s">
        <v>8</v>
      </c>
      <c r="D2" s="5" t="s">
        <v>9</v>
      </c>
      <c r="E2" s="4" t="s">
        <v>10</v>
      </c>
      <c r="F2" s="5"/>
    </row>
    <row r="3" customFormat="false" ht="18.75" hidden="false" customHeight="true" outlineLevel="0" collapsed="false">
      <c r="A3" s="4"/>
      <c r="B3" s="4"/>
      <c r="C3" s="4"/>
      <c r="D3" s="5" t="s">
        <v>11</v>
      </c>
      <c r="E3" s="4" t="s">
        <v>10</v>
      </c>
      <c r="F3" s="5"/>
    </row>
    <row r="4" customFormat="false" ht="18.75" hidden="false" customHeight="true" outlineLevel="0" collapsed="false">
      <c r="A4" s="4"/>
      <c r="B4" s="4"/>
      <c r="C4" s="4"/>
      <c r="D4" s="5" t="s">
        <v>12</v>
      </c>
      <c r="E4" s="4" t="s">
        <v>10</v>
      </c>
      <c r="F4" s="5"/>
    </row>
    <row r="5" customFormat="false" ht="18.75" hidden="false" customHeight="true" outlineLevel="0" collapsed="false">
      <c r="A5" s="4"/>
      <c r="B5" s="4"/>
      <c r="C5" s="6" t="s">
        <v>13</v>
      </c>
      <c r="D5" s="7" t="s">
        <v>14</v>
      </c>
      <c r="E5" s="4" t="s">
        <v>15</v>
      </c>
      <c r="F5" s="5"/>
    </row>
    <row r="6" customFormat="false" ht="18.75" hidden="false" customHeight="true" outlineLevel="0" collapsed="false">
      <c r="A6" s="4"/>
      <c r="B6" s="4"/>
      <c r="C6" s="4"/>
      <c r="D6" s="7" t="s">
        <v>16</v>
      </c>
      <c r="E6" s="4" t="s">
        <v>15</v>
      </c>
      <c r="F6" s="5"/>
    </row>
    <row r="7" customFormat="false" ht="18.75" hidden="false" customHeight="true" outlineLevel="0" collapsed="false">
      <c r="A7" s="4"/>
      <c r="B7" s="4"/>
      <c r="C7" s="4" t="s">
        <v>17</v>
      </c>
      <c r="D7" s="5" t="s">
        <v>18</v>
      </c>
      <c r="E7" s="4" t="s">
        <v>10</v>
      </c>
      <c r="F7" s="5"/>
    </row>
    <row r="8" customFormat="false" ht="18.75" hidden="false" customHeight="true" outlineLevel="0" collapsed="false">
      <c r="A8" s="4"/>
      <c r="B8" s="4"/>
      <c r="C8" s="4"/>
      <c r="D8" s="5" t="s">
        <v>19</v>
      </c>
      <c r="E8" s="4" t="s">
        <v>10</v>
      </c>
      <c r="F8" s="5"/>
    </row>
    <row r="9" customFormat="false" ht="18.75" hidden="false" customHeight="true" outlineLevel="0" collapsed="false">
      <c r="A9" s="4"/>
      <c r="B9" s="4"/>
      <c r="C9" s="4"/>
      <c r="D9" s="7" t="s">
        <v>20</v>
      </c>
      <c r="E9" s="4" t="s">
        <v>10</v>
      </c>
      <c r="F9" s="5"/>
    </row>
    <row r="10" customFormat="false" ht="18.75" hidden="false" customHeight="true" outlineLevel="0" collapsed="false">
      <c r="A10" s="4"/>
      <c r="B10" s="4"/>
      <c r="C10" s="4"/>
      <c r="D10" s="7" t="s">
        <v>21</v>
      </c>
      <c r="E10" s="4" t="s">
        <v>10</v>
      </c>
      <c r="F10" s="5"/>
    </row>
    <row r="11" customFormat="false" ht="18.75" hidden="false" customHeight="true" outlineLevel="0" collapsed="false">
      <c r="A11" s="4"/>
      <c r="B11" s="4"/>
      <c r="C11" s="4"/>
      <c r="D11" s="5" t="s">
        <v>22</v>
      </c>
      <c r="E11" s="4" t="s">
        <v>10</v>
      </c>
      <c r="F11" s="5"/>
    </row>
    <row r="12" customFormat="false" ht="18.75" hidden="false" customHeight="true" outlineLevel="0" collapsed="false">
      <c r="A12" s="4"/>
      <c r="B12" s="4"/>
      <c r="C12" s="4" t="s">
        <v>23</v>
      </c>
      <c r="D12" s="7" t="s">
        <v>24</v>
      </c>
      <c r="E12" s="4" t="s">
        <v>10</v>
      </c>
      <c r="F12" s="5"/>
    </row>
    <row r="13" customFormat="false" ht="18.75" hidden="false" customHeight="true" outlineLevel="0" collapsed="false">
      <c r="A13" s="4"/>
      <c r="B13" s="4"/>
      <c r="C13" s="4"/>
      <c r="D13" s="5" t="s">
        <v>25</v>
      </c>
      <c r="E13" s="4" t="s">
        <v>10</v>
      </c>
      <c r="F13" s="5"/>
    </row>
    <row r="14" customFormat="false" ht="18.75" hidden="false" customHeight="true" outlineLevel="0" collapsed="false">
      <c r="A14" s="4"/>
      <c r="B14" s="4"/>
      <c r="C14" s="4"/>
      <c r="D14" s="5" t="s">
        <v>26</v>
      </c>
      <c r="E14" s="4" t="s">
        <v>10</v>
      </c>
      <c r="F14" s="5"/>
    </row>
    <row r="15" customFormat="false" ht="18.75" hidden="false" customHeight="true" outlineLevel="0" collapsed="false">
      <c r="A15" s="4"/>
      <c r="B15" s="4"/>
      <c r="C15" s="4"/>
      <c r="D15" s="5" t="s">
        <v>27</v>
      </c>
      <c r="E15" s="4" t="s">
        <v>10</v>
      </c>
      <c r="F15" s="5"/>
    </row>
    <row r="16" customFormat="false" ht="18.75" hidden="false" customHeight="true" outlineLevel="0" collapsed="false">
      <c r="A16" s="4"/>
      <c r="B16" s="4"/>
      <c r="C16" s="4"/>
      <c r="D16" s="7" t="s">
        <v>28</v>
      </c>
      <c r="E16" s="4" t="s">
        <v>10</v>
      </c>
      <c r="F16" s="5"/>
    </row>
    <row r="17" customFormat="false" ht="18.75" hidden="false" customHeight="true" outlineLevel="0" collapsed="false">
      <c r="A17" s="4"/>
      <c r="B17" s="4"/>
      <c r="C17" s="4"/>
      <c r="D17" s="7" t="s">
        <v>29</v>
      </c>
      <c r="E17" s="4" t="s">
        <v>10</v>
      </c>
      <c r="F17" s="5"/>
    </row>
    <row r="18" customFormat="false" ht="18.75" hidden="false" customHeight="true" outlineLevel="0" collapsed="false">
      <c r="A18" s="4"/>
      <c r="B18" s="4"/>
      <c r="C18" s="4" t="s">
        <v>30</v>
      </c>
      <c r="D18" s="7" t="s">
        <v>31</v>
      </c>
      <c r="E18" s="4" t="s">
        <v>10</v>
      </c>
      <c r="F18" s="5"/>
    </row>
    <row r="19" customFormat="false" ht="18.75" hidden="false" customHeight="true" outlineLevel="0" collapsed="false">
      <c r="A19" s="4"/>
      <c r="B19" s="4"/>
      <c r="C19" s="4"/>
      <c r="D19" s="5" t="s">
        <v>32</v>
      </c>
      <c r="E19" s="4" t="s">
        <v>10</v>
      </c>
      <c r="F19" s="5"/>
    </row>
    <row r="20" customFormat="false" ht="18.75" hidden="false" customHeight="true" outlineLevel="0" collapsed="false">
      <c r="A20" s="4"/>
      <c r="B20" s="4"/>
      <c r="C20" s="4"/>
      <c r="D20" s="7" t="s">
        <v>33</v>
      </c>
      <c r="E20" s="4" t="s">
        <v>10</v>
      </c>
      <c r="F20" s="5"/>
    </row>
    <row r="21" customFormat="false" ht="18.75" hidden="false" customHeight="true" outlineLevel="0" collapsed="false">
      <c r="A21" s="4"/>
      <c r="B21" s="4"/>
      <c r="C21" s="4"/>
      <c r="D21" s="5" t="s">
        <v>34</v>
      </c>
      <c r="E21" s="4" t="s">
        <v>10</v>
      </c>
      <c r="F21" s="5"/>
    </row>
    <row r="22" customFormat="false" ht="18.75" hidden="false" customHeight="true" outlineLevel="0" collapsed="false">
      <c r="A22" s="4"/>
      <c r="B22" s="4"/>
      <c r="C22" s="4" t="s">
        <v>35</v>
      </c>
      <c r="D22" s="5" t="s">
        <v>36</v>
      </c>
      <c r="E22" s="4" t="s">
        <v>10</v>
      </c>
      <c r="F22" s="5"/>
    </row>
    <row r="23" customFormat="false" ht="31.5" hidden="false" customHeight="true" outlineLevel="0" collapsed="false">
      <c r="A23" s="4"/>
      <c r="B23" s="4"/>
      <c r="C23" s="4"/>
      <c r="D23" s="7" t="s">
        <v>37</v>
      </c>
      <c r="E23" s="4" t="s">
        <v>10</v>
      </c>
      <c r="F23" s="5"/>
    </row>
    <row r="24" customFormat="false" ht="18.75" hidden="false" customHeight="true" outlineLevel="0" collapsed="false">
      <c r="A24" s="4"/>
      <c r="B24" s="4"/>
      <c r="C24" s="4" t="s">
        <v>38</v>
      </c>
      <c r="D24" s="5" t="s">
        <v>39</v>
      </c>
      <c r="E24" s="4" t="s">
        <v>10</v>
      </c>
      <c r="F24" s="5"/>
    </row>
    <row r="25" customFormat="false" ht="18.75" hidden="false" customHeight="true" outlineLevel="0" collapsed="false">
      <c r="A25" s="4"/>
      <c r="B25" s="4"/>
      <c r="C25" s="4"/>
      <c r="D25" s="7" t="s">
        <v>40</v>
      </c>
      <c r="E25" s="4" t="s">
        <v>10</v>
      </c>
      <c r="F25" s="5"/>
    </row>
    <row r="26" customFormat="false" ht="18.75" hidden="false" customHeight="true" outlineLevel="0" collapsed="false">
      <c r="A26" s="4"/>
      <c r="B26" s="4"/>
      <c r="C26" s="4"/>
      <c r="D26" s="7" t="s">
        <v>41</v>
      </c>
      <c r="E26" s="4" t="s">
        <v>10</v>
      </c>
      <c r="F26" s="5"/>
    </row>
    <row r="27" customFormat="false" ht="18.75" hidden="false" customHeight="true" outlineLevel="0" collapsed="false">
      <c r="A27" s="4"/>
      <c r="B27" s="4"/>
      <c r="C27" s="4"/>
      <c r="D27" s="5" t="s">
        <v>42</v>
      </c>
      <c r="E27" s="4" t="s">
        <v>10</v>
      </c>
      <c r="F27" s="5"/>
    </row>
    <row r="28" customFormat="false" ht="18.75" hidden="false" customHeight="true" outlineLevel="0" collapsed="false">
      <c r="A28" s="4"/>
      <c r="B28" s="4"/>
      <c r="C28" s="4"/>
      <c r="D28" s="5" t="s">
        <v>43</v>
      </c>
      <c r="E28" s="4" t="s">
        <v>10</v>
      </c>
      <c r="F28" s="5"/>
    </row>
    <row r="29" customFormat="false" ht="18.75" hidden="false" customHeight="true" outlineLevel="0" collapsed="false"/>
    <row r="30" customFormat="false" ht="18.75" hidden="false" customHeight="true" outlineLevel="0" collapsed="false"/>
    <row r="31" customFormat="false" ht="18.75" hidden="false" customHeight="true" outlineLevel="0" collapsed="false"/>
    <row r="32" customFormat="false" ht="18.75" hidden="false" customHeight="true" outlineLevel="0" collapsed="false"/>
    <row r="33" customFormat="false" ht="18.75" hidden="false" customHeight="true" outlineLevel="0" collapsed="false"/>
    <row r="34" customFormat="false" ht="31.5" hidden="false" customHeight="true" outlineLevel="0" collapsed="false"/>
    <row r="35" customFormat="false" ht="18.75" hidden="false" customHeight="true" outlineLevel="0" collapsed="false"/>
    <row r="36" customFormat="false" ht="18.75" hidden="false" customHeight="true" outlineLevel="0" collapsed="false"/>
    <row r="37" customFormat="false" ht="18.75" hidden="false" customHeight="true" outlineLevel="0" collapsed="false"/>
    <row r="38" customFormat="false" ht="18.75" hidden="false" customHeight="true" outlineLevel="0" collapsed="false"/>
    <row r="39" customFormat="false" ht="18.75" hidden="false" customHeight="true" outlineLevel="0" collapsed="false"/>
    <row r="40" customFormat="false" ht="18.75" hidden="false" customHeight="true" outlineLevel="0" collapsed="false"/>
    <row r="41" customFormat="false" ht="18.75" hidden="false" customHeight="true" outlineLevel="0" collapsed="false"/>
    <row r="42" customFormat="false" ht="31.5" hidden="false" customHeight="true" outlineLevel="0" collapsed="false"/>
    <row r="43" customFormat="false" ht="18.75" hidden="false" customHeight="true" outlineLevel="0" collapsed="false"/>
    <row r="44" customFormat="false" ht="18.75" hidden="false" customHeight="true" outlineLevel="0" collapsed="false"/>
    <row r="45" customFormat="false" ht="18.75" hidden="false" customHeight="true" outlineLevel="0" collapsed="false"/>
    <row r="46" customFormat="false" ht="18.75" hidden="false" customHeight="true" outlineLevel="0" collapsed="false"/>
    <row r="47" customFormat="false" ht="18.75" hidden="false" customHeight="true" outlineLevel="0" collapsed="false"/>
    <row r="48" customFormat="false" ht="31.5" hidden="false" customHeight="true" outlineLevel="0" collapsed="false"/>
    <row r="49" customFormat="false" ht="18.75" hidden="false" customHeight="true" outlineLevel="0" collapsed="false"/>
    <row r="50" customFormat="false" ht="31.5" hidden="false" customHeight="true" outlineLevel="0" collapsed="false"/>
    <row r="51" customFormat="false" ht="18.75" hidden="false" customHeight="true" outlineLevel="0" collapsed="false"/>
    <row r="52" customFormat="false" ht="18.75" hidden="false" customHeight="true" outlineLevel="0" collapsed="false"/>
    <row r="53" customFormat="false" ht="18.75" hidden="false" customHeight="true" outlineLevel="0" collapsed="false"/>
    <row r="54" customFormat="false" ht="18.75" hidden="false" customHeight="true" outlineLevel="0" collapsed="false"/>
    <row r="55" customFormat="false" ht="18.75" hidden="false" customHeight="true" outlineLevel="0" collapsed="false"/>
    <row r="56" customFormat="false" ht="18.75" hidden="false" customHeight="true" outlineLevel="0" collapsed="false"/>
    <row r="57" customFormat="false" ht="31.5" hidden="false" customHeight="true" outlineLevel="0" collapsed="false"/>
    <row r="58" customFormat="false" ht="18.75" hidden="false" customHeight="true" outlineLevel="0" collapsed="false"/>
    <row r="59" customFormat="false" ht="18.75" hidden="false" customHeight="true" outlineLevel="0" collapsed="false"/>
    <row r="60" customFormat="false" ht="18.75" hidden="false" customHeight="true" outlineLevel="0" collapsed="false"/>
    <row r="61" customFormat="false" ht="31.5" hidden="false" customHeight="true" outlineLevel="0" collapsed="false"/>
    <row r="62" customFormat="false" ht="31.5" hidden="false" customHeight="true" outlineLevel="0" collapsed="false"/>
    <row r="63" customFormat="false" ht="18.75" hidden="false" customHeight="true" outlineLevel="0" collapsed="false"/>
    <row r="64" customFormat="false" ht="31.5" hidden="false" customHeight="true" outlineLevel="0" collapsed="false"/>
    <row r="65" customFormat="false" ht="18.75" hidden="false" customHeight="true" outlineLevel="0" collapsed="false"/>
    <row r="66" customFormat="false" ht="31.5" hidden="false" customHeight="true" outlineLevel="0" collapsed="false"/>
    <row r="67" customFormat="false" ht="31.5" hidden="false" customHeight="true" outlineLevel="0" collapsed="false"/>
    <row r="68" customFormat="false" ht="31.5" hidden="false" customHeight="true" outlineLevel="0" collapsed="false"/>
    <row r="69" customFormat="false" ht="31.5" hidden="false" customHeight="true" outlineLevel="0" collapsed="false"/>
    <row r="70" customFormat="false" ht="18.75" hidden="false" customHeight="true" outlineLevel="0" collapsed="false"/>
    <row r="71" customFormat="false" ht="18.75" hidden="false" customHeight="true" outlineLevel="0" collapsed="false"/>
    <row r="72" customFormat="false" ht="18.75" hidden="false" customHeight="true" outlineLevel="0" collapsed="false"/>
    <row r="73" customFormat="false" ht="31.5" hidden="false" customHeight="true" outlineLevel="0" collapsed="false"/>
    <row r="74" customFormat="false" ht="18.75" hidden="false" customHeight="true" outlineLevel="0" collapsed="false"/>
    <row r="75" customFormat="false" ht="18.75" hidden="false" customHeight="true" outlineLevel="0" collapsed="false"/>
    <row r="76" customFormat="false" ht="18.75" hidden="false" customHeight="true" outlineLevel="0" collapsed="false"/>
    <row r="77" customFormat="false" ht="18.75" hidden="false" customHeight="true" outlineLevel="0" collapsed="false"/>
    <row r="78" customFormat="false" ht="18.75" hidden="false" customHeight="true" outlineLevel="0" collapsed="false"/>
    <row r="79" customFormat="false" ht="18.75" hidden="false" customHeight="true" outlineLevel="0" collapsed="false"/>
    <row r="80" customFormat="false" ht="18.75" hidden="false" customHeight="true" outlineLevel="0" collapsed="false"/>
    <row r="81" customFormat="false" ht="18.75" hidden="false" customHeight="true" outlineLevel="0" collapsed="false"/>
    <row r="82" customFormat="false" ht="18.75" hidden="false" customHeight="true" outlineLevel="0" collapsed="false"/>
    <row r="83" customFormat="false" ht="18.75" hidden="false" customHeight="true" outlineLevel="0" collapsed="false"/>
    <row r="84" customFormat="false" ht="18.75" hidden="false" customHeight="true" outlineLevel="0" collapsed="false"/>
    <row r="85" customFormat="false" ht="18.75" hidden="false" customHeight="true" outlineLevel="0" collapsed="false"/>
    <row r="86" customFormat="false" ht="18.75" hidden="false" customHeight="true" outlineLevel="0" collapsed="false"/>
    <row r="87" customFormat="false" ht="31.5" hidden="false" customHeight="true" outlineLevel="0" collapsed="false"/>
    <row r="88" customFormat="false" ht="18.75" hidden="false" customHeight="true" outlineLevel="0" collapsed="false"/>
    <row r="89" customFormat="false" ht="18.75" hidden="false" customHeight="true" outlineLevel="0" collapsed="false"/>
    <row r="90" customFormat="false" ht="18.75" hidden="false" customHeight="true" outlineLevel="0" collapsed="false"/>
    <row r="91" customFormat="false" ht="31.5" hidden="false" customHeight="true" outlineLevel="0" collapsed="false"/>
    <row r="92" customFormat="false" ht="31.5" hidden="false" customHeight="true" outlineLevel="0" collapsed="false"/>
    <row r="93" customFormat="false" ht="18.75" hidden="false" customHeight="true" outlineLevel="0" collapsed="false"/>
    <row r="94" customFormat="false" ht="18.75" hidden="false" customHeight="true" outlineLevel="0" collapsed="false"/>
    <row r="95" customFormat="false" ht="18.75" hidden="false" customHeight="true" outlineLevel="0" collapsed="false"/>
    <row r="96" customFormat="false" ht="31.5" hidden="false" customHeight="true" outlineLevel="0" collapsed="false"/>
    <row r="97" customFormat="false" ht="18.75" hidden="false" customHeight="true" outlineLevel="0" collapsed="false"/>
    <row r="98" customFormat="false" ht="18.75" hidden="false" customHeight="true" outlineLevel="0" collapsed="false"/>
    <row r="99" customFormat="false" ht="18.75" hidden="false" customHeight="true" outlineLevel="0" collapsed="false"/>
    <row r="100" customFormat="false" ht="31.5" hidden="false" customHeight="true" outlineLevel="0" collapsed="false"/>
    <row r="101" customFormat="false" ht="18.75" hidden="false" customHeight="true" outlineLevel="0" collapsed="false"/>
    <row r="102" customFormat="false" ht="31.5" hidden="false" customHeight="true" outlineLevel="0" collapsed="false"/>
    <row r="103" customFormat="false" ht="18.75" hidden="false" customHeight="true" outlineLevel="0" collapsed="false"/>
    <row r="104" customFormat="false" ht="18.75" hidden="false" customHeight="true" outlineLevel="0" collapsed="false"/>
    <row r="105" customFormat="false" ht="31.5" hidden="false" customHeight="true" outlineLevel="0" collapsed="false"/>
    <row r="106" customFormat="false" ht="31.5" hidden="false" customHeight="true" outlineLevel="0" collapsed="false"/>
    <row r="107" customFormat="false" ht="31.5" hidden="false" customHeight="true" outlineLevel="0" collapsed="false"/>
    <row r="108" customFormat="false" ht="31.5" hidden="false" customHeight="true" outlineLevel="0" collapsed="false"/>
    <row r="109" customFormat="false" ht="31.5" hidden="false" customHeight="true" outlineLevel="0" collapsed="false"/>
    <row r="110" customFormat="false" ht="31.5" hidden="false" customHeight="true" outlineLevel="0" collapsed="false"/>
    <row r="111" customFormat="false" ht="31.5" hidden="false" customHeight="true" outlineLevel="0" collapsed="false"/>
    <row r="112" customFormat="false" ht="18.75" hidden="false" customHeight="true" outlineLevel="0" collapsed="false"/>
    <row r="113" customFormat="false" ht="18.75" hidden="false" customHeight="true" outlineLevel="0" collapsed="false"/>
    <row r="114" customFormat="false" ht="18.75" hidden="false" customHeight="true" outlineLevel="0" collapsed="false"/>
    <row r="115" customFormat="false" ht="18.75" hidden="false" customHeight="true" outlineLevel="0" collapsed="false"/>
    <row r="116" customFormat="false" ht="18.75" hidden="false" customHeight="true" outlineLevel="0" collapsed="false"/>
    <row r="117" customFormat="false" ht="18.75" hidden="false" customHeight="true" outlineLevel="0" collapsed="false"/>
    <row r="118" customFormat="false" ht="31.5" hidden="false" customHeight="true" outlineLevel="0" collapsed="false"/>
    <row r="119" customFormat="false" ht="31.5" hidden="false" customHeight="true" outlineLevel="0" collapsed="false"/>
    <row r="120" customFormat="false" ht="31.5" hidden="false" customHeight="true" outlineLevel="0" collapsed="false"/>
    <row r="121" customFormat="false" ht="18.75" hidden="false" customHeight="true" outlineLevel="0" collapsed="false"/>
    <row r="122" customFormat="false" ht="31.5" hidden="false" customHeight="true" outlineLevel="0" collapsed="false"/>
    <row r="123" customFormat="false" ht="31.5" hidden="false" customHeight="true" outlineLevel="0" collapsed="false"/>
    <row r="124" customFormat="false" ht="18.75" hidden="false" customHeight="true" outlineLevel="0" collapsed="false"/>
    <row r="125" customFormat="false" ht="31.5" hidden="false" customHeight="true" outlineLevel="0" collapsed="false"/>
    <row r="126" customFormat="false" ht="31.5" hidden="false" customHeight="true" outlineLevel="0" collapsed="false"/>
    <row r="127" customFormat="false" ht="18.75" hidden="false" customHeight="true" outlineLevel="0" collapsed="false"/>
    <row r="128" customFormat="false" ht="18.75" hidden="false" customHeight="true" outlineLevel="0" collapsed="false"/>
    <row r="129" customFormat="false" ht="31.5" hidden="false" customHeight="true" outlineLevel="0" collapsed="false"/>
    <row r="130" customFormat="false" ht="31.5" hidden="false" customHeight="true" outlineLevel="0" collapsed="false"/>
    <row r="131" customFormat="false" ht="31.5" hidden="false" customHeight="true" outlineLevel="0" collapsed="false"/>
    <row r="132" customFormat="false" ht="18.75" hidden="false" customHeight="true" outlineLevel="0" collapsed="false"/>
    <row r="133" customFormat="false" ht="18.75" hidden="false" customHeight="true" outlineLevel="0" collapsed="false"/>
    <row r="134" customFormat="false" ht="18.75" hidden="false" customHeight="true" outlineLevel="0" collapsed="false"/>
    <row r="135" customFormat="false" ht="31.5" hidden="false" customHeight="true" outlineLevel="0" collapsed="false"/>
    <row r="136" customFormat="false" ht="31.5" hidden="false" customHeight="true" outlineLevel="0" collapsed="false"/>
    <row r="137" customFormat="false" ht="18.75" hidden="false" customHeight="true" outlineLevel="0" collapsed="false"/>
    <row r="138" customFormat="false" ht="31.5" hidden="false" customHeight="true" outlineLevel="0" collapsed="false"/>
    <row r="139" customFormat="false" ht="31.5" hidden="false" customHeight="true" outlineLevel="0" collapsed="false"/>
  </sheetData>
  <autoFilter ref="A1:F29"/>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7"/>
  <sheetViews>
    <sheetView showFormulas="false" showGridLines="true" showRowColHeaders="true" showZeros="true" rightToLeft="false" tabSelected="true" showOutlineSymbols="true" defaultGridColor="true" view="normal" topLeftCell="C1" colorId="64" zoomScale="83" zoomScaleNormal="83" zoomScalePageLayoutView="100" workbookViewId="0">
      <pane xSplit="0" ySplit="8" topLeftCell="A9" activePane="bottomLeft" state="frozen"/>
      <selection pane="topLeft" activeCell="C1" activeCellId="0" sqref="C1"/>
      <selection pane="bottomLeft" activeCell="H9" activeCellId="0" sqref="H9"/>
    </sheetView>
  </sheetViews>
  <sheetFormatPr defaultColWidth="14.4453125" defaultRowHeight="14.25" zeroHeight="false" outlineLevelRow="0" outlineLevelCol="0"/>
  <cols>
    <col collapsed="false" customWidth="true" hidden="false" outlineLevel="0" max="1" min="1" style="1" width="22"/>
    <col collapsed="false" customWidth="true" hidden="false" outlineLevel="0" max="2" min="2" style="1" width="36"/>
    <col collapsed="false" customWidth="true" hidden="false" outlineLevel="0" max="4" min="3" style="1" width="54"/>
    <col collapsed="false" customWidth="true" hidden="false" outlineLevel="0" max="5" min="5" style="1" width="24"/>
    <col collapsed="false" customWidth="true" hidden="false" outlineLevel="0" max="6" min="6" style="1" width="11"/>
    <col collapsed="false" customWidth="true" hidden="false" outlineLevel="0" max="7" min="7" style="1" width="12"/>
    <col collapsed="false" customWidth="true" hidden="false" outlineLevel="0" max="8" min="8" style="1" width="40"/>
    <col collapsed="false" customWidth="true" hidden="false" outlineLevel="0" max="9" min="9" style="1" width="9.44"/>
    <col collapsed="false" customWidth="true" hidden="true" outlineLevel="0" max="10" min="10" style="1" width="8.11"/>
    <col collapsed="false" customWidth="true" hidden="false" outlineLevel="0" max="26" min="11" style="1" width="9.11"/>
    <col collapsed="false" customWidth="false" hidden="false" outlineLevel="0" max="16384" min="27" style="1" width="14.44"/>
  </cols>
  <sheetData>
    <row r="1" customFormat="false" ht="13.5" hidden="false" customHeight="true" outlineLevel="0" collapsed="false">
      <c r="A1" s="8"/>
      <c r="B1" s="9"/>
      <c r="C1" s="9"/>
      <c r="D1" s="9"/>
      <c r="E1" s="9"/>
      <c r="F1" s="10"/>
      <c r="G1" s="11"/>
      <c r="H1" s="10"/>
      <c r="I1" s="12"/>
      <c r="J1" s="13"/>
      <c r="K1" s="13"/>
      <c r="L1" s="13"/>
      <c r="M1" s="13"/>
      <c r="N1" s="13"/>
      <c r="O1" s="13"/>
      <c r="P1" s="13"/>
      <c r="Q1" s="13"/>
      <c r="R1" s="13"/>
      <c r="S1" s="13"/>
      <c r="T1" s="13"/>
      <c r="U1" s="13"/>
      <c r="V1" s="13"/>
      <c r="W1" s="13"/>
      <c r="X1" s="13"/>
      <c r="Y1" s="13"/>
      <c r="Z1" s="13"/>
    </row>
    <row r="2" customFormat="false" ht="15" hidden="false" customHeight="true" outlineLevel="0" collapsed="false">
      <c r="A2" s="14" t="s">
        <v>44</v>
      </c>
      <c r="B2" s="15" t="s">
        <v>45</v>
      </c>
      <c r="C2" s="15"/>
      <c r="D2" s="15"/>
      <c r="E2" s="15"/>
      <c r="F2" s="15"/>
      <c r="G2" s="15"/>
      <c r="H2" s="15"/>
      <c r="I2" s="12"/>
      <c r="J2" s="13" t="s">
        <v>46</v>
      </c>
      <c r="K2" s="13"/>
      <c r="L2" s="13"/>
      <c r="M2" s="13"/>
      <c r="N2" s="13"/>
      <c r="O2" s="13"/>
      <c r="P2" s="13"/>
      <c r="Q2" s="13"/>
      <c r="R2" s="13"/>
      <c r="S2" s="13"/>
      <c r="T2" s="13"/>
      <c r="U2" s="13"/>
      <c r="V2" s="13"/>
      <c r="W2" s="13"/>
      <c r="X2" s="13"/>
      <c r="Y2" s="13"/>
      <c r="Z2" s="13"/>
    </row>
    <row r="3" customFormat="false" ht="27.75" hidden="false" customHeight="true" outlineLevel="0" collapsed="false">
      <c r="A3" s="16" t="s">
        <v>47</v>
      </c>
      <c r="B3" s="17" t="s">
        <v>48</v>
      </c>
      <c r="C3" s="17"/>
      <c r="D3" s="17"/>
      <c r="E3" s="17"/>
      <c r="F3" s="17"/>
      <c r="G3" s="17"/>
      <c r="H3" s="17"/>
      <c r="I3" s="12"/>
      <c r="J3" s="13" t="s">
        <v>49</v>
      </c>
      <c r="K3" s="13"/>
      <c r="L3" s="13"/>
      <c r="M3" s="13"/>
      <c r="N3" s="13"/>
      <c r="O3" s="13"/>
      <c r="P3" s="13"/>
      <c r="Q3" s="13"/>
      <c r="R3" s="13"/>
      <c r="S3" s="13"/>
      <c r="T3" s="13"/>
      <c r="U3" s="13"/>
      <c r="V3" s="13"/>
      <c r="W3" s="13"/>
      <c r="X3" s="13"/>
      <c r="Y3" s="13"/>
      <c r="Z3" s="13"/>
    </row>
    <row r="4" customFormat="false" ht="18" hidden="false" customHeight="true" outlineLevel="0" collapsed="false">
      <c r="A4" s="14" t="s">
        <v>50</v>
      </c>
      <c r="B4" s="17" t="s">
        <v>51</v>
      </c>
      <c r="C4" s="17"/>
      <c r="D4" s="17"/>
      <c r="E4" s="17"/>
      <c r="F4" s="17"/>
      <c r="G4" s="17"/>
      <c r="H4" s="17"/>
      <c r="I4" s="12"/>
      <c r="J4" s="13" t="s">
        <v>52</v>
      </c>
      <c r="K4" s="13"/>
      <c r="L4" s="13"/>
      <c r="M4" s="13"/>
      <c r="N4" s="13"/>
      <c r="O4" s="13"/>
      <c r="P4" s="13"/>
      <c r="Q4" s="13"/>
      <c r="R4" s="13"/>
      <c r="S4" s="13"/>
      <c r="T4" s="13"/>
      <c r="U4" s="13"/>
      <c r="V4" s="13"/>
      <c r="W4" s="13"/>
      <c r="X4" s="13"/>
      <c r="Y4" s="13"/>
      <c r="Z4" s="13"/>
    </row>
    <row r="5" customFormat="false" ht="19.5" hidden="false" customHeight="true" outlineLevel="0" collapsed="false">
      <c r="A5" s="18" t="s">
        <v>46</v>
      </c>
      <c r="B5" s="19" t="s">
        <v>49</v>
      </c>
      <c r="C5" s="19" t="s">
        <v>53</v>
      </c>
      <c r="D5" s="19" t="s">
        <v>52</v>
      </c>
      <c r="E5" s="20" t="s">
        <v>54</v>
      </c>
      <c r="F5" s="19" t="s">
        <v>55</v>
      </c>
      <c r="G5" s="19"/>
      <c r="H5" s="19"/>
      <c r="I5" s="21"/>
      <c r="J5" s="13" t="s">
        <v>53</v>
      </c>
      <c r="K5" s="13"/>
      <c r="L5" s="13"/>
      <c r="M5" s="13"/>
      <c r="N5" s="13"/>
      <c r="O5" s="13"/>
      <c r="P5" s="13"/>
      <c r="Q5" s="13"/>
      <c r="R5" s="13"/>
      <c r="S5" s="13"/>
      <c r="T5" s="13"/>
      <c r="U5" s="13"/>
      <c r="V5" s="13"/>
      <c r="W5" s="13"/>
      <c r="X5" s="13"/>
      <c r="Y5" s="13"/>
      <c r="Z5" s="13"/>
    </row>
    <row r="6" customFormat="false" ht="15" hidden="false" customHeight="true" outlineLevel="0" collapsed="false">
      <c r="A6" s="22" t="n">
        <f aca="false">COUNTIF(F9:F996,"Passed")</f>
        <v>24</v>
      </c>
      <c r="B6" s="23" t="n">
        <f aca="false">COUNTIF(F9:F996,"Failed")</f>
        <v>1</v>
      </c>
      <c r="C6" s="23" t="n">
        <f aca="false">F6-E6-D6-B6-A6</f>
        <v>0</v>
      </c>
      <c r="D6" s="23" t="n">
        <f aca="false">COUNTIF(F$9:F$996,"Blocked")</f>
        <v>0</v>
      </c>
      <c r="E6" s="24" t="n">
        <f aca="false">COUNTIF(F$9:F$996,"Skipped")</f>
        <v>2</v>
      </c>
      <c r="F6" s="25" t="n">
        <f aca="false">COUNTA(A9:A996)</f>
        <v>27</v>
      </c>
      <c r="G6" s="25"/>
      <c r="H6" s="25"/>
      <c r="I6" s="21"/>
      <c r="J6" s="13" t="s">
        <v>54</v>
      </c>
      <c r="K6" s="13"/>
      <c r="L6" s="13"/>
      <c r="M6" s="13"/>
      <c r="N6" s="13"/>
      <c r="O6" s="13"/>
      <c r="P6" s="13"/>
      <c r="Q6" s="13"/>
      <c r="R6" s="13"/>
      <c r="S6" s="13"/>
      <c r="T6" s="13"/>
      <c r="U6" s="13"/>
      <c r="V6" s="13"/>
      <c r="W6" s="13"/>
      <c r="X6" s="13"/>
      <c r="Y6" s="13"/>
      <c r="Z6" s="13"/>
    </row>
    <row r="7" customFormat="false" ht="15" hidden="false" customHeight="true" outlineLevel="0" collapsed="false">
      <c r="A7" s="13"/>
      <c r="B7" s="13"/>
      <c r="C7" s="13"/>
      <c r="D7" s="26"/>
      <c r="E7" s="26"/>
      <c r="F7" s="27"/>
      <c r="G7" s="27"/>
      <c r="H7" s="27"/>
      <c r="I7" s="21"/>
      <c r="J7" s="13"/>
      <c r="K7" s="13"/>
      <c r="L7" s="13"/>
      <c r="M7" s="13"/>
      <c r="N7" s="13"/>
      <c r="O7" s="13"/>
      <c r="P7" s="13"/>
      <c r="Q7" s="13"/>
      <c r="R7" s="13"/>
      <c r="S7" s="13"/>
      <c r="T7" s="13"/>
      <c r="U7" s="13"/>
      <c r="V7" s="13"/>
      <c r="W7" s="13"/>
      <c r="X7" s="13"/>
      <c r="Y7" s="13"/>
      <c r="Z7" s="13"/>
    </row>
    <row r="8" customFormat="false" ht="25.5" hidden="false" customHeight="true" outlineLevel="0" collapsed="false">
      <c r="A8" s="28" t="s">
        <v>56</v>
      </c>
      <c r="B8" s="29" t="s">
        <v>57</v>
      </c>
      <c r="C8" s="29" t="s">
        <v>58</v>
      </c>
      <c r="D8" s="29" t="s">
        <v>59</v>
      </c>
      <c r="E8" s="30" t="s">
        <v>60</v>
      </c>
      <c r="F8" s="30" t="s">
        <v>61</v>
      </c>
      <c r="G8" s="30" t="s">
        <v>62</v>
      </c>
      <c r="H8" s="31" t="s">
        <v>5</v>
      </c>
      <c r="I8" s="32"/>
      <c r="J8" s="13"/>
      <c r="K8" s="13"/>
      <c r="L8" s="13"/>
      <c r="M8" s="13"/>
      <c r="N8" s="13"/>
      <c r="O8" s="13"/>
      <c r="P8" s="13"/>
      <c r="Q8" s="13"/>
      <c r="R8" s="13"/>
      <c r="S8" s="13"/>
      <c r="T8" s="13"/>
      <c r="U8" s="13"/>
      <c r="V8" s="13"/>
      <c r="W8" s="13"/>
      <c r="X8" s="13"/>
      <c r="Y8" s="13"/>
      <c r="Z8" s="13"/>
    </row>
    <row r="9" customFormat="false" ht="123" hidden="false" customHeight="true" outlineLevel="0" collapsed="false">
      <c r="A9" s="33" t="s">
        <v>63</v>
      </c>
      <c r="B9" s="34" t="s">
        <v>9</v>
      </c>
      <c r="C9" s="34" t="s">
        <v>64</v>
      </c>
      <c r="D9" s="34" t="s">
        <v>65</v>
      </c>
      <c r="E9" s="34" t="s">
        <v>66</v>
      </c>
      <c r="F9" s="35" t="s">
        <v>46</v>
      </c>
      <c r="G9" s="36" t="n">
        <v>46325</v>
      </c>
      <c r="H9" s="34" t="s">
        <v>67</v>
      </c>
    </row>
    <row r="10" customFormat="false" ht="148.5" hidden="false" customHeight="true" outlineLevel="0" collapsed="false">
      <c r="A10" s="33" t="s">
        <v>68</v>
      </c>
      <c r="B10" s="34" t="s">
        <v>11</v>
      </c>
      <c r="C10" s="34" t="s">
        <v>69</v>
      </c>
      <c r="D10" s="34" t="s">
        <v>70</v>
      </c>
      <c r="E10" s="34" t="s">
        <v>66</v>
      </c>
      <c r="F10" s="35" t="s">
        <v>46</v>
      </c>
      <c r="G10" s="36" t="n">
        <v>46325</v>
      </c>
      <c r="H10" s="34" t="s">
        <v>71</v>
      </c>
    </row>
    <row r="11" customFormat="false" ht="123" hidden="false" customHeight="true" outlineLevel="0" collapsed="false">
      <c r="A11" s="33" t="s">
        <v>72</v>
      </c>
      <c r="B11" s="34" t="s">
        <v>12</v>
      </c>
      <c r="C11" s="34" t="s">
        <v>73</v>
      </c>
      <c r="D11" s="34" t="s">
        <v>74</v>
      </c>
      <c r="E11" s="34" t="s">
        <v>75</v>
      </c>
      <c r="F11" s="35" t="s">
        <v>46</v>
      </c>
      <c r="G11" s="36" t="n">
        <v>46325</v>
      </c>
      <c r="H11" s="34" t="s">
        <v>76</v>
      </c>
    </row>
    <row r="12" customFormat="false" ht="123" hidden="false" customHeight="true" outlineLevel="0" collapsed="false">
      <c r="A12" s="33" t="s">
        <v>77</v>
      </c>
      <c r="B12" s="34" t="s">
        <v>14</v>
      </c>
      <c r="C12" s="34" t="s">
        <v>78</v>
      </c>
      <c r="D12" s="34" t="s">
        <v>79</v>
      </c>
      <c r="E12" s="34" t="s">
        <v>66</v>
      </c>
      <c r="F12" s="35" t="s">
        <v>46</v>
      </c>
      <c r="G12" s="36" t="n">
        <v>46325</v>
      </c>
      <c r="H12" s="34" t="s">
        <v>80</v>
      </c>
    </row>
    <row r="13" customFormat="false" ht="123" hidden="false" customHeight="true" outlineLevel="0" collapsed="false">
      <c r="A13" s="33" t="s">
        <v>81</v>
      </c>
      <c r="B13" s="34" t="s">
        <v>16</v>
      </c>
      <c r="C13" s="34" t="s">
        <v>82</v>
      </c>
      <c r="D13" s="34" t="s">
        <v>83</v>
      </c>
      <c r="E13" s="34" t="s">
        <v>66</v>
      </c>
      <c r="F13" s="35" t="s">
        <v>46</v>
      </c>
      <c r="G13" s="36" t="n">
        <v>46325</v>
      </c>
      <c r="H13" s="34" t="s">
        <v>84</v>
      </c>
    </row>
    <row r="14" customFormat="false" ht="123" hidden="false" customHeight="true" outlineLevel="0" collapsed="false">
      <c r="A14" s="33" t="s">
        <v>85</v>
      </c>
      <c r="B14" s="34" t="s">
        <v>18</v>
      </c>
      <c r="C14" s="34" t="s">
        <v>86</v>
      </c>
      <c r="D14" s="34" t="s">
        <v>87</v>
      </c>
      <c r="E14" s="34" t="s">
        <v>66</v>
      </c>
      <c r="F14" s="35" t="s">
        <v>46</v>
      </c>
      <c r="G14" s="36" t="n">
        <v>46325</v>
      </c>
      <c r="H14" s="34" t="s">
        <v>88</v>
      </c>
    </row>
    <row r="15" customFormat="false" ht="123" hidden="false" customHeight="true" outlineLevel="0" collapsed="false">
      <c r="A15" s="33" t="s">
        <v>89</v>
      </c>
      <c r="B15" s="34" t="s">
        <v>19</v>
      </c>
      <c r="C15" s="34" t="s">
        <v>90</v>
      </c>
      <c r="D15" s="34" t="s">
        <v>91</v>
      </c>
      <c r="E15" s="34" t="s">
        <v>66</v>
      </c>
      <c r="F15" s="35" t="s">
        <v>46</v>
      </c>
      <c r="G15" s="36" t="n">
        <v>46325</v>
      </c>
      <c r="H15" s="34" t="s">
        <v>92</v>
      </c>
    </row>
    <row r="16" customFormat="false" ht="123" hidden="false" customHeight="true" outlineLevel="0" collapsed="false">
      <c r="A16" s="33" t="s">
        <v>93</v>
      </c>
      <c r="B16" s="34" t="s">
        <v>20</v>
      </c>
      <c r="C16" s="34" t="s">
        <v>94</v>
      </c>
      <c r="D16" s="34" t="s">
        <v>95</v>
      </c>
      <c r="E16" s="34" t="s">
        <v>66</v>
      </c>
      <c r="F16" s="35" t="s">
        <v>46</v>
      </c>
      <c r="G16" s="36" t="n">
        <v>46325</v>
      </c>
      <c r="H16" s="34" t="s">
        <v>96</v>
      </c>
    </row>
    <row r="17" customFormat="false" ht="109.5" hidden="false" customHeight="true" outlineLevel="0" collapsed="false">
      <c r="A17" s="33" t="s">
        <v>97</v>
      </c>
      <c r="B17" s="34" t="s">
        <v>21</v>
      </c>
      <c r="C17" s="34" t="s">
        <v>98</v>
      </c>
      <c r="D17" s="34" t="s">
        <v>99</v>
      </c>
      <c r="E17" s="34" t="s">
        <v>66</v>
      </c>
      <c r="F17" s="35" t="s">
        <v>46</v>
      </c>
      <c r="G17" s="36" t="n">
        <v>46325</v>
      </c>
      <c r="H17" s="34" t="s">
        <v>100</v>
      </c>
    </row>
    <row r="18" customFormat="false" ht="148.5" hidden="false" customHeight="true" outlineLevel="0" collapsed="false">
      <c r="A18" s="33" t="s">
        <v>101</v>
      </c>
      <c r="B18" s="34" t="s">
        <v>22</v>
      </c>
      <c r="C18" s="34" t="s">
        <v>102</v>
      </c>
      <c r="D18" s="34" t="s">
        <v>103</v>
      </c>
      <c r="E18" s="34" t="s">
        <v>66</v>
      </c>
      <c r="F18" s="35" t="s">
        <v>54</v>
      </c>
      <c r="G18" s="36" t="n">
        <v>46325</v>
      </c>
      <c r="H18" s="34" t="s">
        <v>104</v>
      </c>
    </row>
    <row r="19" customFormat="false" ht="148.5" hidden="false" customHeight="true" outlineLevel="0" collapsed="false">
      <c r="A19" s="33" t="s">
        <v>105</v>
      </c>
      <c r="B19" s="34" t="s">
        <v>24</v>
      </c>
      <c r="C19" s="34" t="s">
        <v>106</v>
      </c>
      <c r="D19" s="34" t="s">
        <v>107</v>
      </c>
      <c r="E19" s="34" t="s">
        <v>89</v>
      </c>
      <c r="F19" s="35" t="s">
        <v>46</v>
      </c>
      <c r="G19" s="36" t="n">
        <v>46325</v>
      </c>
      <c r="H19" s="34" t="s">
        <v>108</v>
      </c>
    </row>
    <row r="20" customFormat="false" ht="135.75" hidden="false" customHeight="true" outlineLevel="0" collapsed="false">
      <c r="A20" s="33" t="s">
        <v>109</v>
      </c>
      <c r="B20" s="34" t="s">
        <v>25</v>
      </c>
      <c r="C20" s="34" t="s">
        <v>110</v>
      </c>
      <c r="D20" s="34" t="s">
        <v>111</v>
      </c>
      <c r="E20" s="34" t="s">
        <v>66</v>
      </c>
      <c r="F20" s="35" t="s">
        <v>46</v>
      </c>
      <c r="G20" s="36" t="n">
        <v>46325</v>
      </c>
      <c r="H20" s="34" t="s">
        <v>112</v>
      </c>
    </row>
    <row r="21" customFormat="false" ht="109.5" hidden="false" customHeight="true" outlineLevel="0" collapsed="false">
      <c r="A21" s="33" t="s">
        <v>113</v>
      </c>
      <c r="B21" s="34" t="s">
        <v>26</v>
      </c>
      <c r="C21" s="34" t="s">
        <v>114</v>
      </c>
      <c r="D21" s="34" t="s">
        <v>115</v>
      </c>
      <c r="E21" s="34" t="s">
        <v>66</v>
      </c>
      <c r="F21" s="35" t="s">
        <v>46</v>
      </c>
      <c r="G21" s="36" t="n">
        <v>46325</v>
      </c>
      <c r="H21" s="34" t="s">
        <v>116</v>
      </c>
    </row>
    <row r="22" customFormat="false" ht="123" hidden="false" customHeight="true" outlineLevel="0" collapsed="false">
      <c r="A22" s="33" t="s">
        <v>117</v>
      </c>
      <c r="B22" s="34" t="s">
        <v>27</v>
      </c>
      <c r="C22" s="34" t="s">
        <v>118</v>
      </c>
      <c r="D22" s="34" t="s">
        <v>119</v>
      </c>
      <c r="E22" s="34" t="s">
        <v>66</v>
      </c>
      <c r="F22" s="35" t="s">
        <v>46</v>
      </c>
      <c r="G22" s="36" t="n">
        <v>46325</v>
      </c>
      <c r="H22" s="34" t="s">
        <v>120</v>
      </c>
    </row>
    <row r="23" customFormat="false" ht="123" hidden="false" customHeight="true" outlineLevel="0" collapsed="false">
      <c r="A23" s="33" t="s">
        <v>121</v>
      </c>
      <c r="B23" s="34" t="s">
        <v>28</v>
      </c>
      <c r="C23" s="34" t="s">
        <v>122</v>
      </c>
      <c r="D23" s="34" t="s">
        <v>123</v>
      </c>
      <c r="E23" s="34" t="s">
        <v>105</v>
      </c>
      <c r="F23" s="35" t="s">
        <v>46</v>
      </c>
      <c r="G23" s="36" t="n">
        <v>46325</v>
      </c>
      <c r="H23" s="34" t="s">
        <v>124</v>
      </c>
    </row>
    <row r="24" customFormat="false" ht="148.5" hidden="false" customHeight="true" outlineLevel="0" collapsed="false">
      <c r="A24" s="33" t="s">
        <v>125</v>
      </c>
      <c r="B24" s="34" t="s">
        <v>29</v>
      </c>
      <c r="C24" s="34" t="s">
        <v>126</v>
      </c>
      <c r="D24" s="34" t="s">
        <v>127</v>
      </c>
      <c r="E24" s="34" t="s">
        <v>89</v>
      </c>
      <c r="F24" s="35" t="s">
        <v>54</v>
      </c>
      <c r="G24" s="36" t="n">
        <v>46325</v>
      </c>
      <c r="H24" s="34" t="s">
        <v>128</v>
      </c>
    </row>
    <row r="25" customFormat="false" ht="148.5" hidden="false" customHeight="true" outlineLevel="0" collapsed="false">
      <c r="A25" s="33" t="s">
        <v>129</v>
      </c>
      <c r="B25" s="34" t="s">
        <v>31</v>
      </c>
      <c r="C25" s="34" t="s">
        <v>130</v>
      </c>
      <c r="D25" s="34" t="s">
        <v>131</v>
      </c>
      <c r="E25" s="34" t="s">
        <v>66</v>
      </c>
      <c r="F25" s="35" t="s">
        <v>46</v>
      </c>
      <c r="G25" s="36" t="n">
        <v>46325</v>
      </c>
      <c r="H25" s="34" t="s">
        <v>132</v>
      </c>
    </row>
    <row r="26" customFormat="false" ht="148.5" hidden="false" customHeight="true" outlineLevel="0" collapsed="false">
      <c r="A26" s="33" t="s">
        <v>133</v>
      </c>
      <c r="B26" s="34" t="s">
        <v>32</v>
      </c>
      <c r="C26" s="34" t="s">
        <v>134</v>
      </c>
      <c r="D26" s="34" t="s">
        <v>135</v>
      </c>
      <c r="E26" s="34" t="s">
        <v>129</v>
      </c>
      <c r="F26" s="35" t="s">
        <v>46</v>
      </c>
      <c r="G26" s="36" t="n">
        <v>46325</v>
      </c>
      <c r="H26" s="34" t="s">
        <v>136</v>
      </c>
    </row>
    <row r="27" customFormat="false" ht="135.75" hidden="false" customHeight="true" outlineLevel="0" collapsed="false">
      <c r="A27" s="33" t="s">
        <v>137</v>
      </c>
      <c r="B27" s="34" t="s">
        <v>33</v>
      </c>
      <c r="C27" s="34" t="s">
        <v>138</v>
      </c>
      <c r="D27" s="34" t="s">
        <v>139</v>
      </c>
      <c r="E27" s="34" t="s">
        <v>66</v>
      </c>
      <c r="F27" s="35" t="s">
        <v>46</v>
      </c>
      <c r="G27" s="36" t="n">
        <v>46325</v>
      </c>
      <c r="H27" s="34" t="s">
        <v>140</v>
      </c>
    </row>
    <row r="28" customFormat="false" ht="123" hidden="false" customHeight="true" outlineLevel="0" collapsed="false">
      <c r="A28" s="33" t="s">
        <v>141</v>
      </c>
      <c r="B28" s="34" t="s">
        <v>34</v>
      </c>
      <c r="C28" s="34" t="s">
        <v>142</v>
      </c>
      <c r="D28" s="34" t="s">
        <v>143</v>
      </c>
      <c r="E28" s="34" t="s">
        <v>133</v>
      </c>
      <c r="F28" s="35" t="s">
        <v>46</v>
      </c>
      <c r="G28" s="36" t="n">
        <v>46325</v>
      </c>
      <c r="H28" s="34" t="s">
        <v>144</v>
      </c>
    </row>
    <row r="29" customFormat="false" ht="123" hidden="false" customHeight="true" outlineLevel="0" collapsed="false">
      <c r="A29" s="33" t="s">
        <v>145</v>
      </c>
      <c r="B29" s="34" t="s">
        <v>36</v>
      </c>
      <c r="C29" s="34" t="s">
        <v>146</v>
      </c>
      <c r="D29" s="34" t="s">
        <v>147</v>
      </c>
      <c r="E29" s="34" t="s">
        <v>93</v>
      </c>
      <c r="F29" s="35" t="s">
        <v>46</v>
      </c>
      <c r="G29" s="36" t="n">
        <v>46325</v>
      </c>
      <c r="H29" s="34" t="s">
        <v>148</v>
      </c>
    </row>
    <row r="30" customFormat="false" ht="174.75" hidden="false" customHeight="true" outlineLevel="0" collapsed="false">
      <c r="A30" s="33" t="s">
        <v>149</v>
      </c>
      <c r="B30" s="34" t="s">
        <v>37</v>
      </c>
      <c r="C30" s="34" t="s">
        <v>150</v>
      </c>
      <c r="D30" s="34" t="s">
        <v>151</v>
      </c>
      <c r="E30" s="34" t="s">
        <v>105</v>
      </c>
      <c r="F30" s="35" t="s">
        <v>49</v>
      </c>
      <c r="G30" s="36" t="n">
        <v>46325</v>
      </c>
      <c r="H30" s="34" t="s">
        <v>152</v>
      </c>
    </row>
    <row r="31" customFormat="false" ht="123" hidden="false" customHeight="true" outlineLevel="0" collapsed="false">
      <c r="A31" s="33" t="s">
        <v>153</v>
      </c>
      <c r="B31" s="34" t="s">
        <v>39</v>
      </c>
      <c r="C31" s="34" t="s">
        <v>154</v>
      </c>
      <c r="D31" s="34" t="s">
        <v>155</v>
      </c>
      <c r="E31" s="34" t="s">
        <v>105</v>
      </c>
      <c r="F31" s="35" t="s">
        <v>46</v>
      </c>
      <c r="G31" s="36" t="n">
        <v>46325</v>
      </c>
      <c r="H31" s="34" t="s">
        <v>156</v>
      </c>
    </row>
    <row r="32" customFormat="false" ht="135.75" hidden="false" customHeight="true" outlineLevel="0" collapsed="false">
      <c r="A32" s="33" t="s">
        <v>157</v>
      </c>
      <c r="B32" s="34" t="s">
        <v>40</v>
      </c>
      <c r="C32" s="34" t="s">
        <v>158</v>
      </c>
      <c r="D32" s="34" t="s">
        <v>159</v>
      </c>
      <c r="E32" s="34" t="s">
        <v>153</v>
      </c>
      <c r="F32" s="35" t="s">
        <v>46</v>
      </c>
      <c r="G32" s="36" t="n">
        <v>46325</v>
      </c>
      <c r="H32" s="34" t="s">
        <v>160</v>
      </c>
    </row>
    <row r="33" customFormat="false" ht="109.5" hidden="false" customHeight="true" outlineLevel="0" collapsed="false">
      <c r="A33" s="33" t="s">
        <v>161</v>
      </c>
      <c r="B33" s="34" t="s">
        <v>41</v>
      </c>
      <c r="C33" s="34" t="s">
        <v>162</v>
      </c>
      <c r="D33" s="34" t="s">
        <v>163</v>
      </c>
      <c r="E33" s="34" t="s">
        <v>153</v>
      </c>
      <c r="F33" s="35" t="s">
        <v>46</v>
      </c>
      <c r="G33" s="36" t="n">
        <v>46325</v>
      </c>
      <c r="H33" s="34" t="s">
        <v>164</v>
      </c>
    </row>
    <row r="34" customFormat="false" ht="123" hidden="false" customHeight="true" outlineLevel="0" collapsed="false">
      <c r="A34" s="33" t="s">
        <v>165</v>
      </c>
      <c r="B34" s="34" t="s">
        <v>42</v>
      </c>
      <c r="C34" s="34" t="s">
        <v>166</v>
      </c>
      <c r="D34" s="34" t="s">
        <v>167</v>
      </c>
      <c r="E34" s="34" t="s">
        <v>153</v>
      </c>
      <c r="F34" s="35" t="s">
        <v>46</v>
      </c>
      <c r="G34" s="36" t="n">
        <v>46325</v>
      </c>
      <c r="H34" s="34" t="s">
        <v>168</v>
      </c>
    </row>
    <row r="35" customFormat="false" ht="123" hidden="false" customHeight="true" outlineLevel="0" collapsed="false">
      <c r="A35" s="33" t="s">
        <v>169</v>
      </c>
      <c r="B35" s="34" t="s">
        <v>43</v>
      </c>
      <c r="C35" s="34" t="s">
        <v>170</v>
      </c>
      <c r="D35" s="34" t="s">
        <v>171</v>
      </c>
      <c r="E35" s="34" t="s">
        <v>153</v>
      </c>
      <c r="F35" s="35" t="s">
        <v>46</v>
      </c>
      <c r="G35" s="36" t="n">
        <v>46325</v>
      </c>
      <c r="H35" s="34" t="s">
        <v>172</v>
      </c>
    </row>
    <row r="36" customFormat="false" ht="123" hidden="false" customHeight="true" outlineLevel="0" collapsed="false"/>
    <row r="37" customFormat="false" ht="148.5" hidden="false" customHeight="true" outlineLevel="0" collapsed="false"/>
    <row r="38" customFormat="false" ht="135.75" hidden="false" customHeight="true" outlineLevel="0" collapsed="false"/>
    <row r="39" customFormat="false" ht="162" hidden="false" customHeight="true" outlineLevel="0" collapsed="false"/>
    <row r="40" customFormat="false" ht="135.75" hidden="false" customHeight="true" outlineLevel="0" collapsed="false"/>
    <row r="41" customFormat="false" ht="162" hidden="false" customHeight="true" outlineLevel="0" collapsed="false"/>
    <row r="42" customFormat="false" ht="135.75" hidden="false" customHeight="true" outlineLevel="0" collapsed="false"/>
    <row r="43" customFormat="false" ht="123" hidden="false" customHeight="true" outlineLevel="0" collapsed="false"/>
    <row r="44" customFormat="false" ht="123" hidden="false" customHeight="true" outlineLevel="0" collapsed="false"/>
    <row r="45" customFormat="false" ht="123" hidden="false" customHeight="true" outlineLevel="0" collapsed="false"/>
    <row r="46" customFormat="false" ht="135.75" hidden="false" customHeight="true" outlineLevel="0" collapsed="false"/>
    <row r="47" customFormat="false" ht="135.75" hidden="false" customHeight="true" outlineLevel="0" collapsed="false"/>
    <row r="48" customFormat="false" ht="123" hidden="false" customHeight="true" outlineLevel="0" collapsed="false"/>
    <row r="49" customFormat="false" ht="148.5" hidden="false" customHeight="true" outlineLevel="0" collapsed="false"/>
    <row r="50" customFormat="false" ht="123" hidden="false" customHeight="true" outlineLevel="0" collapsed="false"/>
    <row r="51" customFormat="false" ht="123" hidden="false" customHeight="true" outlineLevel="0" collapsed="false"/>
    <row r="52" customFormat="false" ht="135.75" hidden="false" customHeight="true" outlineLevel="0" collapsed="false"/>
    <row r="53" customFormat="false" ht="109.5" hidden="false" customHeight="true" outlineLevel="0" collapsed="false"/>
    <row r="54" customFormat="false" ht="123" hidden="false" customHeight="true" outlineLevel="0" collapsed="false"/>
    <row r="55" customFormat="false" ht="135.75" hidden="false" customHeight="true" outlineLevel="0" collapsed="false"/>
    <row r="56" customFormat="false" ht="123" hidden="false" customHeight="true" outlineLevel="0" collapsed="false"/>
    <row r="57" customFormat="false" ht="135.75" hidden="false" customHeight="true" outlineLevel="0" collapsed="false"/>
    <row r="58" customFormat="false" ht="109.5" hidden="false" customHeight="true" outlineLevel="0" collapsed="false"/>
    <row r="59" customFormat="false" ht="135.75" hidden="false" customHeight="true" outlineLevel="0" collapsed="false"/>
    <row r="60" customFormat="false" ht="123" hidden="false" customHeight="true" outlineLevel="0" collapsed="false"/>
    <row r="61" customFormat="false" ht="135.75" hidden="false" customHeight="true" outlineLevel="0" collapsed="false"/>
    <row r="62" customFormat="false" ht="123" hidden="false" customHeight="true" outlineLevel="0" collapsed="false"/>
    <row r="63" customFormat="false" ht="135.75" hidden="false" customHeight="true" outlineLevel="0" collapsed="false"/>
    <row r="64" customFormat="false" ht="148.5" hidden="false" customHeight="true" outlineLevel="0" collapsed="false"/>
    <row r="65" customFormat="false" ht="162" hidden="false" customHeight="true" outlineLevel="0" collapsed="false"/>
    <row r="66" customFormat="false" ht="162" hidden="false" customHeight="true" outlineLevel="0" collapsed="false"/>
    <row r="67" customFormat="false" ht="162" hidden="false" customHeight="true" outlineLevel="0" collapsed="false"/>
  </sheetData>
  <mergeCells count="5">
    <mergeCell ref="B2:H2"/>
    <mergeCell ref="B3:H3"/>
    <mergeCell ref="B4:H4"/>
    <mergeCell ref="F5:H5"/>
    <mergeCell ref="F6:H6"/>
  </mergeCells>
  <dataValidations count="1">
    <dataValidation allowBlank="true" errorStyle="stop" operator="between" prompt=" - " showDropDown="false" showErrorMessage="true" showInputMessage="true" sqref="F9:F600" type="list">
      <formula1>$J$2:$J$6</formula1>
      <formula2>0</formula2>
    </dataValidation>
  </dataValidations>
  <printOptions headings="false" gridLines="false" gridLinesSet="true" horizontalCentered="false" verticalCentered="false"/>
  <pageMargins left="0.7" right="0.7" top="0.75" bottom="0.75" header="0" footer="0"/>
  <pageSetup paperSize="1" scale="100" fitToWidth="1" fitToHeight="1" pageOrder="downThenOver" orientation="landscape" blackAndWhite="false" draft="false" cellComments="none" horizontalDpi="300" verticalDpi="300" copies="1"/>
  <headerFooter differentFirst="false" differentOddEven="false">
    <oddHeader>&amp;LFacilitate_Test Case\Company&amp;Rv1.0</oddHeader>
    <oddFooter>&amp;L 02ae-BM/PM/HDCV/FSOFT v2/0&amp;CInternal use&amp;R&amp;P/</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Minh</dc:creator>
  <dc:description/>
  <dc:language>en-US</dc:language>
  <cp:lastModifiedBy>Lenovo Thinkbook</cp:lastModifiedBy>
  <dcterms:modified xsi:type="dcterms:W3CDTF">2026-10-29T21:56:45Z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