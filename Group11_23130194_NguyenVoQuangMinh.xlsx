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527"/>
  <workbookPr/>
  <mc:AlternateContent xmlns:mc="http://schemas.openxmlformats.org/markup-compatibility/2006">
    <mc:Choice Requires="x15">
      <x15ac:absPath xmlns:x15ac="http://schemas.microsoft.com/office/spreadsheetml/2010/11/ac" url="C:\Users\Minh\Downloads\"/>
    </mc:Choice>
  </mc:AlternateContent>
  <xr:revisionPtr revIDLastSave="0" documentId="13_ncr:1_{2E6CA18F-CF20-4C9C-B7B1-77B7A31AC7CE}" xr6:coauthVersionLast="47" xr6:coauthVersionMax="47" xr10:uidLastSave="{00000000-0000-0000-0000-000000000000}"/>
  <bookViews>
    <workbookView xWindow="-108" yWindow="-108" windowWidth="23256" windowHeight="12456" activeTab="4" xr2:uid="{00000000-000D-0000-FFFF-FFFF00000000}"/>
  </bookViews>
  <sheets>
    <sheet name="TestDesign" sheetId="4" r:id="rId1"/>
    <sheet name="Voucher Va Ma Giam Gia" sheetId="5" r:id="rId2"/>
    <sheet name="Order Management" sheetId="6" r:id="rId3"/>
    <sheet name="Review" sheetId="7" r:id="rId4"/>
    <sheet name="Test Report" sheetId="8" r:id="rId5"/>
  </sheets>
  <externalReferences>
    <externalReference r:id="rId6"/>
  </externalReferences>
  <definedNames>
    <definedName name="_xlnm._FilterDatabase" localSheetId="0" hidden="1">TestDesign!$A$1:$F$866</definedName>
    <definedName name="_Toc301930468" localSheetId="0">TestDesign!$B$215</definedName>
    <definedName name="_Toc301930478" localSheetId="0">TestDesign!$B$375</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8" l="1"/>
  <c r="H13" i="8"/>
  <c r="G13" i="8"/>
  <c r="F13" i="8"/>
  <c r="E13" i="8"/>
  <c r="D13" i="8"/>
  <c r="C13" i="8"/>
  <c r="I12" i="8"/>
  <c r="H12" i="8"/>
  <c r="G12" i="8"/>
  <c r="F12" i="8"/>
  <c r="E12" i="8"/>
  <c r="D12" i="8"/>
  <c r="C12" i="8"/>
  <c r="I11" i="8"/>
  <c r="I15" i="8" s="1"/>
  <c r="H11" i="8"/>
  <c r="H15" i="8" s="1"/>
  <c r="G11" i="8"/>
  <c r="G15" i="8" s="1"/>
  <c r="F11" i="8"/>
  <c r="F15" i="8" s="1"/>
  <c r="E11" i="8"/>
  <c r="E15" i="8" s="1"/>
  <c r="D11" i="8"/>
  <c r="D15" i="8" s="1"/>
  <c r="C11" i="8"/>
  <c r="C4" i="8"/>
  <c r="C5" i="8" s="1"/>
  <c r="C3" i="8"/>
  <c r="F6" i="7"/>
  <c r="E6" i="7"/>
  <c r="C6" i="7" s="1"/>
  <c r="D6" i="7"/>
  <c r="B6" i="7"/>
  <c r="A6" i="7"/>
  <c r="F6" i="6"/>
  <c r="C6" i="6" s="1"/>
  <c r="E6" i="6"/>
  <c r="D6" i="6"/>
  <c r="B6" i="6"/>
  <c r="A6" i="6"/>
  <c r="F6" i="5"/>
  <c r="E6" i="5"/>
  <c r="C6" i="5" s="1"/>
  <c r="D6" i="5"/>
  <c r="B6" i="5"/>
  <c r="A6" i="5"/>
  <c r="E17" i="8" l="1"/>
  <c r="E1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8" authorId="0" shapeId="0" xr:uid="{05B20397-C99F-4E9E-A5A7-CE6B3D86A631}">
      <text>
        <r>
          <rPr>
            <sz val="10"/>
            <rFont val="Arial"/>
            <family val="2"/>
          </rPr>
          <t>======
ID#AAAAHWfBFy8
    (2020-11-28 06:09:48)
Pass
Fail
Untested
N/A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8" authorId="0" shapeId="0" xr:uid="{75635BE6-E826-4DF3-9323-C95B284A3AEE}">
      <text>
        <r>
          <rPr>
            <sz val="10"/>
            <rFont val="Arial"/>
            <family val="2"/>
          </rPr>
          <t>======
ID#AAAAHWfBFzM
    (2020-11-28 06:09:48)
Pass
Fail
Untested
N/A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8" authorId="0" shapeId="0" xr:uid="{CAC558AC-18FE-4216-B1BD-6B5354119B0A}">
      <text>
        <r>
          <rPr>
            <sz val="10"/>
            <rFont val="Arial"/>
            <family val="2"/>
          </rPr>
          <t>======
ID#AAAAHWfBFzE
    (2020-11-28 06:09:48)
Pass
Fail
Untested
N/A</t>
        </r>
      </text>
    </comment>
  </commentList>
</comments>
</file>

<file path=xl/sharedStrings.xml><?xml version="1.0" encoding="utf-8"?>
<sst xmlns="http://schemas.openxmlformats.org/spreadsheetml/2006/main" count="910" uniqueCount="476">
  <si>
    <t>Module Code</t>
  </si>
  <si>
    <t>Passed</t>
  </si>
  <si>
    <t>Test requirement</t>
  </si>
  <si>
    <t>Failed</t>
  </si>
  <si>
    <t>Tester</t>
  </si>
  <si>
    <t>Nguyen Vo Quang Minh</t>
  </si>
  <si>
    <t>Blocked</t>
  </si>
  <si>
    <t>Untested</t>
  </si>
  <si>
    <t>Skipped</t>
  </si>
  <si>
    <t>Number of Test cases</t>
  </si>
  <si>
    <t>ID</t>
  </si>
  <si>
    <t>Test Case Description</t>
  </si>
  <si>
    <t>Test Case Procedure</t>
  </si>
  <si>
    <t>Expected Output</t>
  </si>
  <si>
    <t>Inter-test case Dependence</t>
  </si>
  <si>
    <t>Result</t>
  </si>
  <si>
    <t>Test date</t>
  </si>
  <si>
    <t>Note</t>
  </si>
  <si>
    <t>Voucher_Access_01</t>
  </si>
  <si>
    <t>Kiểm tra truy cập Kho voucher bằng cách click [Voucher] trên thanh header</t>
  </si>
  <si>
    <t>Pre-condition:
+ Đã đăng nhập tài khoản khách hàng test
+ Tab [Chưa lấy] còn voucher chưa lấy (ví dụ 5 voucher), tab [Đã lấy] chưa có voucher (0)
Step:
1. Mở trang chủ https://www.dienmayxanh.com
2. Click [Voucher] trên thanh header</t>
  </si>
  <si>
    <t>1. Trang chủ hiển thị, header có tên tài khoản "Anh Minh"
2. Chuyển đến trang Kho voucher (URL /ca-nhan/vi-voucher), tiêu đề "KHO VOUCHER" và mục [Kho voucher] ở menu trái được làm nổi bật</t>
  </si>
  <si>
    <t>Đăng nhập tài khoản khách hàng test</t>
  </si>
  <si>
    <t>Voucher_Access_02</t>
  </si>
  <si>
    <t>Kiểm tra truy cập Kho voucher bằng menu trái của trang cá nhân</t>
  </si>
  <si>
    <t>Pre-condition:
+ Đã đăng nhập tài khoản khách hàng test
+ Tab [Chưa lấy] còn voucher chưa lấy (ví dụ 5 voucher), tab [Đã lấy] chưa có voucher (0)
Step:
1. Vào trang [Đơn hàng đã mua]
2. Click [Kho voucher] ở menu trái</t>
  </si>
  <si>
    <t>1. Trang Đơn hàng đã mua hiển thị
2. Chuyển sang trang Kho voucher; menu trái làm nổi bật [Kho voucher]; không phải tải lại toàn bộ gây nháy trắng bất thường</t>
  </si>
  <si>
    <t>Voucher_Access_03</t>
  </si>
  <si>
    <t>Kiểm tra click [Voucher] trên header khi chưa đăng nhập</t>
  </si>
  <si>
    <t>1. Trang chủ hiển thị, header có nút [Đăng nhập]
2. Chuyển sang trang đăng nhập (URL dạng /dang-nhap?callback=/ca-nhan/vi-voucher); không hiển thị dữ liệu voucher</t>
  </si>
  <si>
    <t>Không (chưa đăng nhập)</t>
  </si>
  <si>
    <t>Voucher_Access_04</t>
  </si>
  <si>
    <t>Kiểm tra sau khi đăng nhập thành công, hệ thống đưa người dùng về Kho voucher (callback)</t>
  </si>
  <si>
    <t>1. Trang đăng nhập hiển thị
2. Đăng nhập thành công và tự chuyển về trang Kho voucher (tiêu đề "KHO VOUCHER")</t>
  </si>
  <si>
    <t>Voucher_Access_05</t>
  </si>
  <si>
    <t>Kiểm tra truy cập trực tiếp URL Kho voucher khi chưa đăng nhập</t>
  </si>
  <si>
    <t>1. Hệ thống yêu cầu đăng nhập (chuyển sang trang đăng nhập); không hiển thị bất kỳ voucher nào</t>
  </si>
  <si>
    <t>Voucher_Display_01</t>
  </si>
  <si>
    <t>Kiểm tra giao diện tổng thể trang Kho voucher</t>
  </si>
  <si>
    <t>Pre-condition:
+ Đã đăng nhập tài khoản khách hàng test
+ Tab [Chưa lấy] còn voucher chưa lấy (ví dụ 5 voucher), tab [Đã lấy] chưa có voucher (0)
Step:
1. Vào trang Kho voucher
2. Quan sát các thành phần trên trang</t>
  </si>
  <si>
    <t>1. Trang Kho voucher hiển thị
2. Có đủ: nút quay lại "&lt;" + tiêu đề "KHO VOUCHER"; 2 tab [Chưa lấy (n)] / [Đã lấy (n)]; menu trái gồm [Đơn hàng đã mua], [Kho voucher], [Thông tin của tôi], [Đăng xuất]; khối thông tin tài khoản (tên, SĐT, Tổng điểm tích lũy). Không lỗi chính tả, không vỡ bố cục, font và màu thống nhất</t>
  </si>
  <si>
    <t>Voucher_Display_02</t>
  </si>
  <si>
    <t>Kiểm tra tab mặc định khi vào Kho voucher</t>
  </si>
  <si>
    <t>Pre-condition:
+ Đã đăng nhập tài khoản khách hàng test
+ Tab [Chưa lấy] còn voucher chưa lấy (ví dụ 5 voucher), tab [Đã lấy] chưa có voucher (0)
Step:
1. Vào trang Kho voucher</t>
  </si>
  <si>
    <t>1. Tab [Chưa lấy (n)] được chọn mặc định (chữ xanh, có gạch chân); tab [Đã lấy (n)] ở trạng thái chưa chọn; danh sách hiển thị các voucher chưa lấy</t>
  </si>
  <si>
    <t>Voucher_Display_03</t>
  </si>
  <si>
    <t>Kiểm tra số lượng trong tên tab khớp với số voucher thực tế hiển thị</t>
  </si>
  <si>
    <t>Pre-condition:
+ Đã đăng nhập tài khoản khách hàng test
+ Tab [Chưa lấy] còn voucher chưa lấy (ví dụ 5 voucher), tab [Đã lấy] chưa có voucher (0)
Step:
1. Vào tab [Chưa lấy (n)], đếm số card voucher
2. Click tab [Đã lấy (n)], đếm số card voucher</t>
  </si>
  <si>
    <t>1. Số card = n ở tab [Chưa lấy] (ví dụ 5 card khi hiển thị "Chưa lấy (5)")
2. Số card = n ở tab [Đã lấy] (ví dụ 0 card khi hiển thị "Đã lấy (0)")</t>
  </si>
  <si>
    <t>Voucher_Display_04</t>
  </si>
  <si>
    <t>Kiểm tra nội dung hiển thị của mỗi card voucher ở tab [Chưa lấy]</t>
  </si>
  <si>
    <t>Pre-condition:
+ Đã đăng nhập tài khoản khách hàng test
+ Tab [Chưa lấy] còn voucher chưa lấy (ví dụ 5 voucher), tab [Đã lấy] chưa có voucher (0)
Step:
1. Vào tab [Chưa lấy]
2. Quan sát từng card voucher</t>
  </si>
  <si>
    <t>1. Tab [Chưa lấy] hiển thị danh sách voucher
2. Mỗi card có: biểu tượng, tiêu đề voucher, mô tả điều kiện (mức giảm tối đa, ngành hàng áp dụng, website áp dụng ĐMX/TGDĐ/TopZone) và nút [Lấy mã]. Nội dung không bị tràn khỏi card, không chồng chéo</t>
  </si>
  <si>
    <t>Voucher_Display_05</t>
  </si>
  <si>
    <t>Kiểm tra tiêu đề voucher quá dài bị cắt (dấu "...") có cách xem đầy đủ</t>
  </si>
  <si>
    <t>Pre-condition:
+ Đã đăng nhập tài khoản khách hàng test
+ Tab [Chưa lấy] còn voucher chưa lấy (ví dụ 5 voucher), tab [Đã lấy] chưa có voucher (0)
Step:
1. Vào tab [Chưa lấy]
2. Rê chuột / click vào tiêu đề voucher đang bị cắt "..."</t>
  </si>
  <si>
    <t>1. Tiêu đề dài bị cắt bằng dấu "...", không làm vỡ card
2. Người dùng xem được nội dung đầy đủ (tooltip/mở rộng) hoặc mô tả bên dưới đã đủ ý; không bị mất thông tin quan trọng như mức giảm, điều kiện</t>
  </si>
  <si>
    <t>Voucher_Display_06</t>
  </si>
  <si>
    <t>Kiểm tra tab [Đã lấy] khi chưa lấy voucher nào</t>
  </si>
  <si>
    <t>Pre-condition:
+ Đã đăng nhập tài khoản khách hàng test
+ Tab [Chưa lấy] còn voucher chưa lấy (ví dụ 5 voucher), tab [Đã lấy] chưa có voucher (0)
Step:
1. Click tab [Đã lấy (0)]</t>
  </si>
  <si>
    <t>1. Tab [Đã lấy] được chọn (làm nổi bật), danh sách trống và hiển thị thông báo/trạng thái rỗng phù hợp; không lỗi, không hiện khoảng trắng bất thường</t>
  </si>
  <si>
    <t>Voucher_Display_07</t>
  </si>
  <si>
    <t>Kiểm tra chuyển qua lại giữa 2 tab nhiều lần</t>
  </si>
  <si>
    <t>Pre-condition:
+ Đã đăng nhập tài khoản khách hàng test
+ Tab [Chưa lấy] còn voucher chưa lấy (ví dụ 5 voucher), tab [Đã lấy] chưa có voucher (0)
Step:
1. Click tab [Đã lấy]
2. Click tab [Chưa lấy]
3. Lặp lại bước 1-2 khoảng 5 lần</t>
  </si>
  <si>
    <t>1. Hiển thị nội dung tab [Đã lấy]
2. Hiển thị lại đúng các voucher chưa lấy
3. Mỗi lần chuyển tab nội dung đúng, không nhân đôi card, số lượng trong tên tab không đổi</t>
  </si>
  <si>
    <t>Voucher_Display_08</t>
  </si>
  <si>
    <t>Kiểm tra nút quay lại "&lt;" cạnh tiêu đề KHO VOUCHER</t>
  </si>
  <si>
    <t>Pre-condition:
+ Đã đăng nhập tài khoản khách hàng test
+ Tab [Chưa lấy] còn voucher chưa lấy (ví dụ 5 voucher), tab [Đã lấy] chưa có voucher (0)
Step:
1. Từ trang [Đơn hàng đã mua] vào Kho voucher
2. Click nút "&lt;" cạnh tiêu đề</t>
  </si>
  <si>
    <t>1. Kho voucher hiển thị
2. Quay về trang trước đó (không thoát khỏi website, không lỗi)</t>
  </si>
  <si>
    <t>Voucher_Claim_01</t>
  </si>
  <si>
    <t>Kiểm tra lấy mã thành công 1 voucher</t>
  </si>
  <si>
    <t>Pre-condition:
+ Đã đăng nhập tài khoản khách hàng test
+ Tab [Chưa lấy] còn voucher chưa lấy (ví dụ 5 voucher), tab [Đã lấy] chưa có voucher (0)
Step:
1. Vào tab [Chưa lấy (5)]
2. Click [Lấy mã] ở voucher đầu tiên</t>
  </si>
  <si>
    <t>Voucher_Claim_02</t>
  </si>
  <si>
    <t>Kiểm tra voucher đã lấy xuất hiện đúng ở tab [Đã lấy]</t>
  </si>
  <si>
    <t>Pre-condition:
+ Đã đăng nhập tài khoản khách hàng test
+ Tab [Chưa lấy] còn voucher chưa lấy (ví dụ 5 voucher), tab [Đã lấy] chưa có voucher (0)
Step:
1. Click tab [Đã lấy (1)]
2. So sánh tiêu đề và mô tả voucher với voucher đã lấy ở Voucher_Claim_01</t>
  </si>
  <si>
    <t>1. Tên tab là [Đã lấy (1)] và có đúng 1 card voucher
2. Nội dung voucher giống hệt trước khi lấy; không còn nút [Lấy mã] hoặc nút được thay bằng trạng thái phù hợp</t>
  </si>
  <si>
    <t>Voucher_Claim_03</t>
  </si>
  <si>
    <t>Kiểm tra trạng thái voucher đã lấy được lưu lại sau khi tải lại trang/đăng nhập lại</t>
  </si>
  <si>
    <t>Pre-condition:
+ Đã đăng nhập tài khoản khách hàng test
+ Tab [Chưa lấy] còn voucher chưa lấy (ví dụ 5 voucher), tab [Đã lấy] chưa có voucher (0)
Step:
1. Nhấn F5 tại trang Kho voucher
2. Click [Đăng xuất], đăng nhập lại và vào Kho voucher</t>
  </si>
  <si>
    <t>1. Trang tải lại: voucher đã lấy vẫn ở tab [Đã lấy], không quay lại [Chưa lấy]
2. Dữ liệu vẫn đúng sau khi đăng nhập lại (Chưa lấy (4), Đã lấy (1))</t>
  </si>
  <si>
    <t>Voucher_Claim_04</t>
  </si>
  <si>
    <t>Kiểm tra lấy hết toàn bộ voucher chưa lấy</t>
  </si>
  <si>
    <t>Pre-condition:
+ Đã đăng nhập tài khoản khách hàng test
+ Tab [Chưa lấy] còn voucher chưa lấy (ví dụ 5 voucher), tab [Đã lấy] chưa có voucher (0)
Step:
1. Lần lượt click [Lấy mã] ở tất cả voucher còn lại trong tab [Chưa lấy]
2. Quan sát tab [Chưa lấy] và [Đã lấy]</t>
  </si>
  <si>
    <t>1. Mỗi lần lấy đều báo thành công, số lượng giảm dần
2. Tab [Chưa lấy (0)] hiển thị trạng thái rỗng phù hợp; tab [Đã lấy (5)] hiển thị đủ 5 voucher</t>
  </si>
  <si>
    <t>Voucher_Claim_05</t>
  </si>
  <si>
    <t>Kiểm tra click nhanh liên tiếp nhiều lần vào [Lấy mã] của cùng 1 voucher</t>
  </si>
  <si>
    <t>Pre-condition:
+ Đã đăng nhập tài khoản khách hàng test
+ Tab [Chưa lấy] còn voucher chưa lấy (ví dụ 5 voucher), tab [Đã lấy] chưa có voucher (0)
Step:
1. Click nhanh 3-5 lần liên tiếp vào [Lấy mã] của 1 voucher chưa lấy</t>
  </si>
  <si>
    <t>1. Chỉ nhận mã 1 lần; không hiện nhiều thông báo thành công/lỗi chồng nhau; số lượng giảm đúng 1 (ví dụ 5 → 4); không có card bị nhân đôi ở tab [Đã lấy]</t>
  </si>
  <si>
    <t>Voucher_Claim_06</t>
  </si>
  <si>
    <t>Kiểm tra lấy cùng 1 voucher từ 2 tab trình duyệt</t>
  </si>
  <si>
    <t>Pre-condition:
+ Đã đăng nhập tài khoản khách hàng test
+ Tab [Chưa lấy] còn voucher chưa lấy (ví dụ 5 voucher), tab [Đã lấy] chưa có voucher (0)
Step:
1. Mở Kho voucher ở 2 tab (tab 1 và tab 2)
2. Tab 1: click [Lấy mã] voucher A
3. Tab 2 (chưa tải lại): click [Lấy mã] voucher A</t>
  </si>
  <si>
    <t>1. Cả 2 tab hiển thị voucher A ở tab [Chưa lấy]
2. Tab 1 nhận mã thành công
3. Tab 2 báo voucher đã được lấy hoặc tự cập nhật lại danh sách; tài khoản chỉ sở hữu 1 voucher A; không treo, không lỗi hệ thống</t>
  </si>
  <si>
    <t>Voucher_Claim_07</t>
  </si>
  <si>
    <t>Kiểm tra lấy mã khi mất kết nối mạng</t>
  </si>
  <si>
    <t>Pre-condition:
+ Đã đăng nhập tài khoản khách hàng test
+ Tab [Chưa lấy] còn voucher chưa lấy (ví dụ 5 voucher), tab [Đã lấy] chưa có voucher (0)
Step:
1. Mở F12 &gt; Network &gt; chọn Offline
2. Click [Lấy mã] ở 1 voucher
3. Tắt Offline, click [Lấy mã] lại ở voucher đó</t>
  </si>
  <si>
    <t>1. Mạng ngắt
2. Hiển thị thông báo lỗi (dạng "Có lỗi xảy ra - Lỗi hệ thống khi lấy mã, quý khách vui lòng thử lại sau") cùng nút [Tôi đã hiểu]; voucher vẫn ở tab [Chưa lấy]; số lượng không đổi
3. Lấy mã thành công bình thường</t>
  </si>
  <si>
    <t>Voucher_Claim_08</t>
  </si>
  <si>
    <t>Kiểm tra lấy mã khi phiên đăng nhập đã hết hiệu lực</t>
  </si>
  <si>
    <t>Pre-condition:
+ Đã đăng nhập tài khoản khách hàng test
+ Tab [Chưa lấy] còn voucher chưa lấy (ví dụ 5 voucher), tab [Đã lấy] chưa có voucher (0)
Step:
1. Mở Kho voucher ở tab 1 và một trang bất kỳ ở tab 2
2. Tab 2: Đăng xuất
3. Tab 1 (chưa tải lại): click [Lấy mã]</t>
  </si>
  <si>
    <t>1. Cả 2 tab đang đăng nhập
2. Tab 2 đã đăng xuất
3. Không nhận mã; hệ thống yêu cầu đăng nhập lại hoặc báo lỗi phù hợp; không hiển thị "Nhận mã thành công" sai</t>
  </si>
  <si>
    <t>Voucher_Claim_09</t>
  </si>
  <si>
    <t>Kiểm tra lấy mã khi voucher đã hết lượt hoặc hết hạn trong lúc đang xem</t>
  </si>
  <si>
    <t>Pre-condition:
+ Đã đăng nhập tài khoản khách hàng test
+ Tab [Chưa lấy] còn voucher chưa lấy (ví dụ 5 voucher), tab [Đã lấy] chưa có voucher (0)
Step:
1. Giữ trang Kho voucher mở đến khi voucher hết hạn/hết lượt
2. Click [Lấy mã] của voucher đó</t>
  </si>
  <si>
    <t>1. Kho voucher hiển thị, voucher vẫn còn trên giao diện
2. Hệ thống báo voucher không còn khả dụng (hết hạn/hết lượt); voucher không được thêm vào tab [Đã lấy]</t>
  </si>
  <si>
    <t>Voucher_Apply_01</t>
  </si>
  <si>
    <t>Kiểm tra voucher đã lấy xuất hiện ở Giỏ hàng/Thanh toán</t>
  </si>
  <si>
    <t>Pre-condition:
+ Đã đăng nhập tài khoản khách hàng test
+ Đã lấy ít nhất 1 voucher (có ở tab [Đã lấy])
+ Chỉ thực hiện đến bước áp dụng mã, KHÔNG đặt hàng
Step:
1. Thêm 1 sản phẩm thuộc ngành hàng phù hợp voucher đã lấy vào giỏ
2. Vào [Giỏ hàng] và tìm mục chọn/nhập mã giảm giá</t>
  </si>
  <si>
    <t>1. Sản phẩm được thêm vào giỏ
2. Voucher đã lấy xuất hiện trong danh sách mã có thể áp dụng</t>
  </si>
  <si>
    <t>Voucher_Apply_02</t>
  </si>
  <si>
    <t>Kiểm tra áp dụng voucher đủ điều kiện: số tiền giảm tính đúng và không vượt mức tối đa</t>
  </si>
  <si>
    <t>Pre-condition:
+ Đã đăng nhập tài khoản khách hàng test
+ Đã lấy voucher dạng % có mức giảm tối đa
+ Giỏ hàng có sản phẩm thuộc ngành hàng áp dụng
+ KHÔNG đặt hàng
Step:
1. Trong Giỏ hàng, chọn voucher dạng % có mức giảm tối đa (ví dụ giảm 6% tối đa 800,000đ)
2. Thử với giỏ hàng giá trị thấp (giảm &lt; mức tối đa) và giá trị cao (giảm &gt; mức tối đa)</t>
  </si>
  <si>
    <t>1. Voucher được áp dụng, hiển thị dòng giảm giá
2. Giá trị thấp: số tiền giảm = % x giá trị hợp lệ; giá trị cao: số tiền giảm = đúng mức tối đa; Tổng thanh toán cập nhật đúng</t>
  </si>
  <si>
    <t>Voucher_Apply_03</t>
  </si>
  <si>
    <t>Kiểm tra áp dụng voucher sai ngành hàng/không đủ điều kiện</t>
  </si>
  <si>
    <t>Pre-condition:
+ Đã đăng nhập tài khoản khách hàng test
+ Đã lấy voucher cho ngành hàng cụ thể
+ KHÔNG đặt hàng
Step:
1. Trong Giỏ hàng có sản phẩm không thuộc ngành hàng của voucher (ví dụ voucher Điện gia dụng nhưng giỏ chỉ có sản phẩm Apple)
2. Chọn/áp dụng voucher đó</t>
  </si>
  <si>
    <t>1. Giỏ hàng hiển thị
2. Hệ thống không áp dụng voucher, hiển thị lý do rõ ràng; tổng tiền không đổi</t>
  </si>
  <si>
    <t>Voucher_Apply_04</t>
  </si>
  <si>
    <t>Kiểm tra bỏ voucher đã áp dụng</t>
  </si>
  <si>
    <t>Pre-condition:
+ Đã đăng nhập tài khoản khách hàng test
+ Đã lấy voucher hợp lệ
+ KHÔNG đặt hàng
Step:
1. Áp dụng 1 voucher hợp lệ trong Giỏ hàng
2. Bỏ chọn/xóa voucher đó</t>
  </si>
  <si>
    <t>1. Tổng thanh toán đã giảm
2. Dòng giảm giá biến mất, Tổng thanh toán trở về giá trị ban đầu</t>
  </si>
  <si>
    <t>Voucher_Apply_05</t>
  </si>
  <si>
    <t>Kiểm tra voucher sau khi đặt hàng thành công bằng voucher đó</t>
  </si>
  <si>
    <t>Pre-condition:
+ Đã đăng nhập tài khoản khách hàng test
+ Đã lấy voucher hợp lệ
Step:
1. Đặt hàng thành công có áp dụng voucher
2. Vào Kho voucher và kiểm tra trạng thái voucher</t>
  </si>
  <si>
    <t>1. Đơn hàng được tạo
2. Voucher chuyển sang trạng thái đã sử dụng/không còn dùng lại được; tab [Đã lấy] cập nhật đúng</t>
  </si>
  <si>
    <t>Voucher_Security_01</t>
  </si>
  <si>
    <t>Kiểm tra đăng xuất rồi nhấn Back của trình duyệt</t>
  </si>
  <si>
    <t>Pre-condition:
+ Đã đăng nhập tài khoản khách hàng test
+ Tab [Chưa lấy] còn voucher chưa lấy (ví dụ 5 voucher), tab [Đã lấy] chưa có voucher (0)
Step:
1. Tại Kho voucher, click [Đăng xuất] ở menu trái
2. Nhấn nút Back của trình duyệt</t>
  </si>
  <si>
    <t>1. Đăng xuất thành công, về trang chủ/trang đăng nhập
2. Không hiển thị lại dữ liệu Kho voucher (yêu cầu đăng nhập hoặc trang rỗng); không lộ thông tin tài khoản</t>
  </si>
  <si>
    <t>Voucher_Security_02</t>
  </si>
  <si>
    <t>Kiểm tra truy cập Kho voucher với tham số URL bất thường</t>
  </si>
  <si>
    <t>Pre-condition:
+ Đã đăng nhập tài khoản khách hàng test
+ Tab [Chưa lấy] còn voucher chưa lấy (ví dụ 5 voucher), tab [Đã lấy] chưa có voucher (0)
Step:
1. Mở URL /ca-nhan/vi-voucher?x=&lt;script&gt;alert(1)&lt;/script&gt;
2. Mở URL /ca-nhan/vi-voucher?tab=999</t>
  </si>
  <si>
    <t>1. Trang hiển thị bình thường, không thực thi script, không hiện popup alert
2. Trang hiển thị bình thường (bỏ qua tham số lạ), không lỗi 500</t>
  </si>
  <si>
    <t>Requirement Level 1</t>
  </si>
  <si>
    <t>Requirement Level 2</t>
  </si>
  <si>
    <t>Requirement Level 3</t>
  </si>
  <si>
    <t>Test Criteria</t>
  </si>
  <si>
    <t>Test Type</t>
  </si>
  <si>
    <t>6.5 Mua hàng</t>
  </si>
  <si>
    <t>6.5.4 Voucher và mã giảm giá</t>
  </si>
  <si>
    <t>Truy cập Kho voucher</t>
  </si>
  <si>
    <t>Function</t>
  </si>
  <si>
    <t>Hiển thị Kho voucher</t>
  </si>
  <si>
    <t>GUI</t>
  </si>
  <si>
    <t>Lấy mã</t>
  </si>
  <si>
    <t>Áp dụng voucher</t>
  </si>
  <si>
    <t>Bảo mật và phiên đăng nhập</t>
  </si>
  <si>
    <t>6.6 Sau bán hàng</t>
  </si>
  <si>
    <t>6.6.1 Quản lý và tra cứu đơn hàng</t>
  </si>
  <si>
    <t>Truy cập và phân quyền</t>
  </si>
  <si>
    <t>Kiểm tra truy cập [Đơn hàng đã mua] từ menu trái trang cá nhân</t>
  </si>
  <si>
    <t>Kiểm tra truy cập danh sách đơn hàng khi chưa đăng nhập</t>
  </si>
  <si>
    <t>Kiểm tra truy cập trực tiếp URL chi tiết đơn hàng khi chưa đăng nhập</t>
  </si>
  <si>
    <t>Kiểm tra tài khoản khác không xem được chi tiết đơn của tài khoản chủ đơn</t>
  </si>
  <si>
    <t>Danh sách đơn hàng</t>
  </si>
  <si>
    <t>Kiểm tra khoảng thời gian mặc định là đúng 1 năm gần nhất tính đến ngày hiện tại</t>
  </si>
  <si>
    <t>Kiểm tra nội dung hiển thị của card đơn hàng</t>
  </si>
  <si>
    <t>Kiểm tra dòng "+N sản phẩm khác" theo số sản phẩm của đơn</t>
  </si>
  <si>
    <t>Kiểm tra thứ tự sắp xếp danh sách đơn hàng</t>
  </si>
  <si>
    <t>Kiểm tra hiển thị khi không có đơn trong khoảng thời gian đang chọn</t>
  </si>
  <si>
    <t>Lọc theo trạng thái</t>
  </si>
  <si>
    <t>Kiểm tra tab [Đã giao] hiển thị các đơn "Thành Công"</t>
  </si>
  <si>
    <t>Kiểm tra các tab không có đơn: [Đang tiếp nhận], [Đang giao], [Đã huỷ]</t>
  </si>
  <si>
    <t>Kiểm tra hiển thị đơn ở các trạng thái Đang tiếp nhận, Đang giao, Đã huỷ và chuyển trạng thái đơn</t>
  </si>
  <si>
    <t>Kiểm tra đổi tab trạng thái vẫn giữ khoảng thời gian đã chọn</t>
  </si>
  <si>
    <t>Lọc theo khoảng thời gian</t>
  </si>
  <si>
    <t>Kiểm tra ngày trong popup khớp với khoảng thời gian hiển thị ở tiêu đề</t>
  </si>
  <si>
    <t>Kiểm tra áp dụng khoảng thời gian bắt đầu trong quá khứ</t>
  </si>
  <si>
    <t>Kiểm tra biên: khoảng chỉ gồm đúng ngày đặt đơn (Từ = Đến = 04/09/2024)</t>
  </si>
  <si>
    <t>Kiểm tra biên: khoảng thời gian liền trước và liền sau ngày đặt đơn</t>
  </si>
  <si>
    <t>Kiểm tra không cho chọn Đến sau thời điểm hiện tại</t>
  </si>
  <si>
    <t>Kiểm tra Từ lớn hơn Đến</t>
  </si>
  <si>
    <t>Kiểm tra nhập tay giá trị không hợp lệ vào ô Từ/Đến</t>
  </si>
  <si>
    <t>Chi tiết đơn hàng</t>
  </si>
  <si>
    <t>Kiểm tra mở chi tiết đơn từ danh sách</t>
  </si>
  <si>
    <t>Kiểm tra khối thông tin đơn hàng và hình thức thanh toán</t>
  </si>
  <si>
    <t>Kiểm tra danh sách sản phẩm trong đơn</t>
  </si>
  <si>
    <t>Kiểm tra tính toán tiền trong khối [Chi tiết thanh toán]</t>
  </si>
  <si>
    <t>Kiểm tra mục [Cần thanh toán] của đơn đã giao thành công</t>
  </si>
  <si>
    <t>Xem hóa đơn điện tử</t>
  </si>
  <si>
    <t>Kiểm tra click [Xem hóa đơn] ở chi tiết đơn</t>
  </si>
  <si>
    <t>Kiểm tra bảng kết quả hóa đơn</t>
  </si>
  <si>
    <t>Kiểm tra click [XEM] để xem hóa đơn</t>
  </si>
  <si>
    <t>Kiểm tra [Tải HĐ chuyển đổi]</t>
  </si>
  <si>
    <t>Kiểm tra tra cứu với mã sai</t>
  </si>
  <si>
    <t>6.6.2 Đánh giá sản phẩm</t>
  </si>
  <si>
    <t>Hiển thị đánh giá</t>
  </si>
  <si>
    <t>Kiểm tra khối tổng quan đánh giá của sản phẩm</t>
  </si>
  <si>
    <t>Kiểm tra tính nhất quán của số liệu thống kê đánh giá</t>
  </si>
  <si>
    <t>Kiểm tra nội dung hiển thị của mỗi đánh giá</t>
  </si>
  <si>
    <t>Kiểm tra hiển thị đánh giá có nội dung dài</t>
  </si>
  <si>
    <t>Kiểm tra sản phẩm chưa có đánh giá nào</t>
  </si>
  <si>
    <t>Đánh dấu hữu ích</t>
  </si>
  <si>
    <t>Kiểm tra bấm [Hữu ích] khi đã đăng nhập</t>
  </si>
  <si>
    <t>Kiểm tra bấm [Hữu ích] lần 2 để bỏ chọn</t>
  </si>
  <si>
    <t>Kiểm tra trạng thái [Hữu ích] được lưu sau khi tải lại trang/đăng nhập lại</t>
  </si>
  <si>
    <t>Kiểm tra bấm [Hữu ích] khi chưa đăng nhập</t>
  </si>
  <si>
    <t>Form viết đánh giá</t>
  </si>
  <si>
    <t>Kiểm tra mở popup [Đánh giá sản phẩm] khi đã đăng nhập</t>
  </si>
  <si>
    <t>Kiểm tra click [Viết đánh giá] khi chưa đăng nhập</t>
  </si>
  <si>
    <t>Kiểm tra chọn từng mức sao và nhãn tương ứng</t>
  </si>
  <si>
    <t>Kiểm tra nút [Gửi đánh giá] khi chỉ chọn sao, chưa đồng ý chính sách</t>
  </si>
  <si>
    <t>Kiểm tra nút [Gửi đánh giá] khi đã đồng ý chính sách nhưng chưa chọn sao</t>
  </si>
  <si>
    <t>Kiểm tra nút [Gửi đánh giá] khi có sao + đồng ý nhưng không nhập nội dung</t>
  </si>
  <si>
    <t>Kiểm tra nút [Gửi đánh giá] được bật khi nhập đủ thông tin hợp lệ</t>
  </si>
  <si>
    <t>Kiểm tra trường [Họ tên (bắt buộc)]</t>
  </si>
  <si>
    <t>Kiểm tra trường [Số điện thoại (bắt buộc)]</t>
  </si>
  <si>
    <t>Kiểm tra thông tin điền sẵn có chỉnh sửa được không</t>
  </si>
  <si>
    <t>Kiểm tra độ dài nội dung nhận xét</t>
  </si>
  <si>
    <t>Kiểm tra nhập emoji, ký tự đặc biệt, nhiều dòng, HTML/script vào ô nhận xét</t>
  </si>
  <si>
    <t>Kiểm tra chọn ảnh hợp lệ (1 đến 3 ảnh) và xóa ảnh</t>
  </si>
  <si>
    <t>Kiểm tra giới hạn tối đa 3 ảnh</t>
  </si>
  <si>
    <t>Kiểm tra chọn tệp không phải ảnh hoặc ảnh quá nặng</t>
  </si>
  <si>
    <t>Kiểm tra các liên kết [Chính sách dữ liệu cá nhân], [Quy định đánh giá], [Chính sách bảo mật thông tin]</t>
  </si>
  <si>
    <t>Kiểm tra đóng popup đang nhập dở</t>
  </si>
  <si>
    <t>Kiểm tra thao tác bằng bàn phím trong form</t>
  </si>
  <si>
    <t>Gửi đánh giá</t>
  </si>
  <si>
    <t>Kiểm tra gửi đánh giá khi mất kết nối mạng</t>
  </si>
  <si>
    <t>Kiểm tra gửi đánh giá thành công bằng tài khoản đã mua sản phẩm</t>
  </si>
  <si>
    <t>Kiểm tra gửi đánh giá bằng tài khoản chưa mua sản phẩm</t>
  </si>
  <si>
    <t>Voucher và Mã giảm giá</t>
  </si>
  <si>
    <t>29/10/2025</t>
  </si>
  <si>
    <t>29/10/2026</t>
  </si>
  <si>
    <t>Pre-condition:
+ Chưa đăng nhập vào tài khoản khách hàng test
Step:
1. Mở trang chủ
2. Click [Voucher] trên header</t>
  </si>
  <si>
    <t>Pre-condition:
+ Chưa đăng nhập vào tài khoản khách hàng test
Step:
1. Thực hiện Voucher_Access_03 để tới trang đăng nhập
2. Nhập SĐT tài khoản test và nhấn xác nhận</t>
  </si>
  <si>
    <t>Pre-condition:
+ Chưa đăng nhập vào tài khoản khách hàng test
Step:
1. Mở trình duyệt, nhập URL https://www.dienmayxanh.com/ca-nhan/vi-voucher và Enter</t>
  </si>
  <si>
    <t>1. Kho voucher hiển thị 5 voucher chưa lấy
2. Hiển thị thông báo "Lưu mã thành công"; voucher vừa lấy biến mất khỏi tab [Chưa lấy]; tên tab đổi thành [Chưa lấy (4)]</t>
  </si>
  <si>
    <t>Actual: không có thông báo lỗi; lần click lúc offline bị gửi lại tự động khi có mạng mà người dùng không được báo.</t>
  </si>
  <si>
    <t>29/10/2027</t>
  </si>
  <si>
    <t>Tạo đơn hàng thật nên Skipped</t>
  </si>
  <si>
    <t>30/10/2026</t>
  </si>
  <si>
    <t>30/10/2027</t>
  </si>
  <si>
    <t>Order</t>
  </si>
  <si>
    <t>Quản lý và tra cứu đơn hàng</t>
  </si>
  <si>
    <t>Order_Access_01</t>
  </si>
  <si>
    <t>Pre-condition:
+ Đã đăng nhập tài khoản khách hàng test
Step:
1. Vào trang [Kho voucher] hoặc [Thông tin của tôi]
2. Click [Đơn hàng đã mua] ở menu trái</t>
  </si>
  <si>
    <t>1. Trang cá nhân hiển thị
2. Chuyển đến /ca-nhan/lich-su-mua-hang, tiêu đề "Đơn hàng đã mua", menu trái làm nổi bật [Đơn hàng đã mua]</t>
  </si>
  <si>
    <t>Order_Access_02</t>
  </si>
  <si>
    <t>Pre-condition:
+ Chưa đăng nhập (dùng cửa sổ ẩn danh của Cốc Cốc hoặc đã đăng xuất)
Step:
1. Mở cửa sổ ẩn danh, vào trang chủ, click [Lịch sử mua hàng] ở chân trang
2. Nhập trực tiếp URL https://www.dienmayxanh.com/ca-nhan/lich-su-mua-hang</t>
  </si>
  <si>
    <t>1. Hệ thống chuyển sang trang đăng nhập (/dang-nhap)
2. Hệ thống yêu cầu đăng nhập; không hiển thị bất kỳ đơn hàng nào</t>
  </si>
  <si>
    <t>[Quan sát] Link [Lịch sử mua hàng] ở chân trang của khách chưa đăng nhập trỏ tới /dang-nhap. Kết luận: website KHÔNG cho tra cứu đơn khi chưa đăng nhập; riêng tra cứu hóa đơn điện tử (hddt) thì công khai - xem nhóm 2.6.</t>
  </si>
  <si>
    <t>Order_Access_03</t>
  </si>
  <si>
    <t>Pre-condition:
+ Chưa đăng nhập (dùng cửa sổ ẩn danh của Cốc Cốc hoặc đã đăng xuất)
Step:
1. Mở cửa sổ ẩn danh, nhập URL https://www.dienmayxanh.com/ca-nhan/lich-su-mua-hang/01967SO24090400320</t>
  </si>
  <si>
    <t>1. Hệ thống yêu cầu đăng nhập; không hiển thị thông tin người nhận, sản phẩm, giá, địa chỉ của đơn hàng</t>
  </si>
  <si>
    <t>Order_Access_04</t>
  </si>
  <si>
    <t>Pre-condition:
+ Có 2 tài khoản test: A (chủ đơn #01967SO24090400320) và B
Step:
1. Đăng nhập tài khoản B (không phải chủ đơn)
2. Nhập URL .../ca-nhan/lich-su-mua-hang/01967SO24090400320 (đơn của tài khoản A)</t>
  </si>
  <si>
    <t>1. Đăng nhập tài khoản B thành công
2. Không hiển thị thông tin đơn của A; hệ thống báo không tìm thấy/không có quyền hoặc quay về danh sách đơn của B</t>
  </si>
  <si>
    <t>Đăng nhập tài khoản B</t>
  </si>
  <si>
    <t>[KHÔNG THỂ THỰC THI THẬT] Cần tài khoản thứ hai. Nếu không có, đánh dấu Skipped. Đây là kiểm thử lỗ hổng truy cập đối tượng (IDOR) quan trọng.</t>
  </si>
  <si>
    <t>Order_List_01</t>
  </si>
  <si>
    <t>Pre-condition:
+ Đã đăng nhập tài khoản khách hàng test
+ Ngày hiện tại là 19/10/2026 (ví dụ)
Step:
1. Đăng nhập, vào trang [Đơn hàng đã mua] lần đầu (không có tham số from/to trên URL)
2. Click [Đổi] để xem giá trị Từ/Đến trong popup</t>
  </si>
  <si>
    <t>1. Khoảng thời gian hiển thị "Từ 19/10/2025 - 19/10/2026" (từ đúng 1 năm trước đến ngày hiện tại); URL có from=2025-10-19... và to=2026-10-19...; danh sách chỉ gồm các đơn trong khoảng này
2. Popup hiển thị Từ = 19/10/2025, Đến = 19/10/2026</t>
  </si>
  <si>
    <t>Ngày hiện tại trong ví dụ là 19/10/2026; khi chạy thật thay bằng ngày hệ thống. [Quan sát] Ảnh chụp hiển thị "Từ 19/10/2020 - 19/10/2026" do tester đã đổi khoảng thời gian trước đó.</t>
  </si>
  <si>
    <t>Order_List_02</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</si>
  <si>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Mở khoảng thời gian có đơn (Từ 01/01/2024 đến ngày hiện tại)
2. Quan sát card đơn #01967SO24090400320</t>
  </si>
  <si>
    <t>1. Danh sách đơn hàng hiển thị
2. Card có: "Đơn hàng:" + mã đơn dạng #01967SO24090400320 + biểu tượng sao chép; trạng thái "Thành Công" (màu xanh); ảnh + tên sản phẩm đầu tiên; "+1 sản phẩm khác"; "Tổng tiền hàng: 650.000đ"; liên kết [Xem chi tiết &gt;]</t>
  </si>
  <si>
    <t>Order_List_03</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</si>
  <si>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Xem card đơn #01967SO24090400320 (2 sản phẩm)
2. Xem card đơn #00678SO24020161113 (1 sản phẩm)</t>
  </si>
  <si>
    <t>1. Hiển thị "+1 sản phẩm khác" (N = tổng số sản phẩm - 1)
2. Không hiển thị dòng "+N sản phẩm khác"</t>
  </si>
  <si>
    <t>[Cần xác nhận] Nên bổ sung đơn có &gt;= 5 sản phẩm nếu tài khoản có, để kiểm tra N lớn.</t>
  </si>
  <si>
    <t>Order_List_04</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</si>
  <si>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Chọn khoảng thời gian bao gồm &gt;= 3 đơn (Từ 01/01/2024 đến ngày hiện tại)
2. So sánh ngày đặt của các đơn từ trên xuống dưới (mở chi tiết nếu cần)</t>
  </si>
  <si>
    <t>1. Danh sách hiển thị
2. Đơn xếp theo thời gian đặt giảm dần (đơn mới nhất ở trên); đơn cùng ngày có thứ tự ổn định</t>
  </si>
  <si>
    <t>[Cần xác nhận] Quy tắc sắp xếp suy luận từ ảnh chụp (đơn 04/09/2024 xếp trên đơn 02/2024).</t>
  </si>
  <si>
    <t>Order_List_05</t>
  </si>
  <si>
    <t>Pre-condition:
+ Đã đăng nhập tài khoản khách hàng test
+ Tài khoản không có đơn nào trong 1 năm gần nhất
Step:
1. Vào trang [Đơn hàng đã mua] với khoảng mặc định (không có đơn trong 1 năm gần nhất)</t>
  </si>
  <si>
    <t>1. Hiển thị trạng thái rỗng thân thiện (thông báo chưa có đơn/hình minh họa); không lỗi, không trắng trang; các tab và link [Đổi] vẫn dùng được</t>
  </si>
  <si>
    <t>[Quan sát] Các đơn quan sát được của tài khoản test đều từ năm 2024 nên khoảng mặc định 1 năm nhiều khả năng rơi vào trạng thái rỗng.</t>
  </si>
  <si>
    <t>Order_Status_01</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</si>
  <si>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Chọn khoảng Từ 01/01/2024 đến ngày hiện tại
2. Click tab [Đã giao]</t>
  </si>
  <si>
    <t>1. Khoảng thời gian áp dụng
2. Hiển thị đúng các đơn "Thành Công" (số đơn khớp với số đơn "Thành Công" ở tab [Tất cả]); không lẫn đơn trạng thái khác</t>
  </si>
  <si>
    <t>[Cần xác nhận] Cần xác nhận trạng thái "Thành Công" thuộc tab [Đã giao].</t>
  </si>
  <si>
    <t>Order_Status_02</t>
  </si>
  <si>
    <t>Pre-condition:
+ Đã đăng nhập tài khoản khách hàng test
+ Tài khoản không có đơn ở các trạng thái Đang tiếp nhận, Đang giao, Đã huỷ
Step:
1. Click tab [Đang tiếp nhận]
2. Click tab [Đang giao]
3. Click tab [Đã huỷ]</t>
  </si>
  <si>
    <t>1. Hiển thị trạng thái rỗng phù hợp, tab được làm nổi bật
2. Hiển thị trạng thái rỗng phù hợp, tab được làm nổi bật
3. Hiển thị trạng thái rỗng phù hợp, tab được làm nổi bật; không lỗi, không hiện đơn của tab khác</t>
  </si>
  <si>
    <t>Order_Status_03</t>
  </si>
  <si>
    <t>Pre-condition:
+ Đã đăng nhập tài khoản khách hàng test
+ Có đơn ở các trạng thái Đang tiếp nhận, Đang giao, Đã huỷ
Step:
1. Có đơn ở từng trạng thái, mở lần lượt các tab
2. Theo dõi 1 đơn mới đặt: Đang tiếp nhận → Đang giao → Đã giao</t>
  </si>
  <si>
    <t>1. Mỗi tab chỉ hiển thị đơn đúng trạng thái, nhãn trạng thái/màu sắc đúng
2. Đơn tự chuyển sang tab tương ứng khi trạng thái thay đổi; số liệu nhất quán giữa danh sách và chi tiết</t>
  </si>
  <si>
    <t>[KHÔNG THỂ THỰC THI THẬT] Tài khoản test chỉ có đơn đã mua (Thành Công); không đặt/hủy đơn thật được. Đánh dấu Skipped hoặc chạy trên môi trường có dữ liệu.</t>
  </si>
  <si>
    <t>Order_Status_04</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</si>
  <si>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Đổi khoảng thời gian thành Từ 01/01/2024 - ngày hiện tại
2. Lần lượt click các tab [Đã giao], [Tất cả]</t>
  </si>
  <si>
    <t>1. Khoảng thời gian áp dụng
2. Khoảng thời gian trên tiêu đề không đổi; kết quả lọc đồng thời theo tab và khoảng; URL giữ nguyên from/to và đổi status</t>
  </si>
  <si>
    <t>Order_DateRange_01</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</si>
  <si>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Ghi lại khoảng thời gian trên tiêu đề (ví dụ Từ 19/10/2020 - 19/10/2026)
2. Click [Đổi] và đối chiếu ô Từ/Đến</t>
  </si>
  <si>
    <t>1. Khoảng thời gian được ghi nhận
2. Ô Từ/Đến trong popup khớp từng ngày với tiêu đề (không lệch 1 ngày)</t>
  </si>
  <si>
    <t>[Quan sát] Ảnh chụp: tiêu đề "Từ 19/10/2020" nhưng popup "Từ 20/10/2020" (có thể do tester đã chọn ngày). Cần kiểm tra lại, nếu tái hiện được là lỗi lệch ngày/múi giờ.</t>
  </si>
  <si>
    <t>Order_DateRange_02</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</si>
  <si>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Click [Đổi], chọn Từ = 01/01/2024, Đến = ngày hiện tại, click [Áp dụng]</t>
  </si>
  <si>
    <t>1. Popup đóng; tiêu đề "Từ 01/01/2024 - 19/10/2026"; URL cập nhật from/to; danh sách hiển thị đúng các đơn đặt trong khoảng (gồm đơn 04/09/2024 và các đơn 02/2024)</t>
  </si>
  <si>
    <t>Order_DateRange_03</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</si>
  <si>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Click [Đổi], chọn Từ = 04/09/2024, Đến = 04/09/2024, click [Áp dụng]</t>
  </si>
  <si>
    <t>1. Hiển thị đơn #01967SO24090400320 (đặt 10:46 ngày 04/09/2024); khoảng thời gian bao gồm cả ngày đầu và ngày cuối, tính hết cả ngày</t>
  </si>
  <si>
    <t>Order_DateRange_04</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</si>
  <si>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Chọn Từ = 01/09/2024, Đến = 03/09/2024 (ngày liền trước), click [Áp dụng]
2. Chọn Từ = 05/09/2024, Đến = 30/09/2024 (ngày liền sau), click [Áp dụng]</t>
  </si>
  <si>
    <t>1. Không hiển thị đơn #01967SO24090400320
2. Không hiển thị đơn #01967SO24090400320</t>
  </si>
  <si>
    <t>[Cần xác nhận] Nếu tài khoản có đơn khác trong các khoảng này thì chỉ kiểm tra đơn #01967SO24090400320 không xuất hiện.</t>
  </si>
  <si>
    <t>Order_DateRange_05</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</si>
  <si>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Click [Đổi], thử chọn Đến = ngày hôm sau (20/10/2026)
2. Nhập tay Đến = 20/10/2026 (nếu ô cho nhập)</t>
  </si>
  <si>
    <t>1. Ngày sau hôm nay bị vô hiệu/không chọn được, hoặc hiển thị thông báo lỗi; ô Đến không nhận giá trị tương lai
2. Hệ thống từ chối giá trị; không áp dụng được khoảng có ngày tương lai</t>
  </si>
  <si>
    <t>Ngày hiện tại trong ví dụ là 19/10/2026; khi chạy thật thay bằng ngày hệ thống.</t>
  </si>
  <si>
    <t>Order_DateRange_06</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</si>
  <si>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Click [Đổi], chọn Từ = 10/09/2024, sau đó chọn Đến = 05/09/2024, click [Áp dụng]</t>
  </si>
  <si>
    <t>1. Hệ thống không áp dụng khoảng sai: hiển thị thông báo lỗi, hoặc tự hoán đổi hai ngày/yêu cầu chọn lại; danh sách và tiêu đề cũ giữ nguyên nếu bị từ chối; không lỗi hệ thống</t>
  </si>
  <si>
    <t>[Cần xác nhận] Hành vi cụ thể (báo lỗi hay tự hoán đổi) chưa rõ.</t>
  </si>
  <si>
    <t>Order_DateRange_07</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</si>
  <si>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Nhập vào ô Từ: "31/02/2024"
2. Nhập: "abc"
3. Nhập: "32/13/2024"
4. Nhập: "2024-09-04" (sai định dạng) rồi click [Áp dụng]</t>
  </si>
  <si>
    <t>1. Không chấp nhận ngày không tồn tại (không nhảy sang 02/03)
2. Ô không nhận chữ hoặc báo lỗi
3. Không chấp nhận
4. Không chấp nhận hoặc báo sai định dạng; không áp dụng được khoảng không hợp lệ; không lỗi hệ thống</t>
  </si>
  <si>
    <t>[Cần xác nhận] Nếu ô chỉ chọn bằng lịch (không cho nhập tay), các bước chỉ cần xác nhận ô không nhập được.</t>
  </si>
  <si>
    <t>Order_Detail_01</t>
  </si>
  <si>
    <t>Pre-condition:
+ Đã đăng nhập tài khoản khách hàng test
+ Tài khoản có các đơn đã mua trạng thái "Thành Công", ví dụ: #01967SO24090400320 (đặt 10:46 04/09/2024, 2 sản phẩm, 650.000đ) và #00678SO24020161113 (1 sản phẩm, 120.000đ)
+ Đang ở trang [Đơn hàng đã mua] (/ca-nhan/lich-su-mua-hang)
Step:
1. Click [Xem chi tiết &gt;] ở đơn #01967SO24090400320</t>
  </si>
  <si>
    <t>1. Chuyển sang trang "Chi tiết đơn hàng"; URL /ca-nhan/lich-su-mua-hang/01967SO24090400320 (mã đơn không có ký tự #); dữ liệu đúng đơn đã chọn</t>
  </si>
  <si>
    <t>Order_Detail_02</t>
  </si>
  <si>
    <t>Pre-condition:
+ Đã đăng nhập tài khoản khách hàng test
+ Đang ở trang [Chi tiết đơn hàng] của đơn #01967SO24090400320
Step:
1. Xem khối bên phải: trạng thái, mã đơn, thời gian đặt
2. Xem khối [Hình thức thanh toán]</t>
  </si>
  <si>
    <t>1. Trạng thái "Thành Công" (màu xanh); mã đơn #01967SO24090400320 trùng với danh sách; "Đặt lúc: 10:46 Thứ Tư - 04/09/2024" đúng định dạng giờ - thứ - ngày và thứ khớp với lịch (04/09/2024 là Thứ Tư)
2. Hiển thị "Thanh toán tiền mặt khi nhận hàng" đúng với hình thức đã chọn khi đặt</t>
  </si>
  <si>
    <t>[KHÔNG THỂ THỰC THI THẬT] Các hình thức thanh toán khác (chuyển khoản, thẻ, trả góp) chưa có đơn để kiểm tra.</t>
  </si>
  <si>
    <t>Order_Detail_03</t>
  </si>
  <si>
    <t>Pre-condition:
+ Đã đăng nhập tài khoản khách hàng test
+ Đang ở trang [Chi tiết đơn hàng] của đơn #01967SO24090400320
Step:
1. Xem khối [Thông tin sản phẩm] của đơn #01967SO24090400320</t>
  </si>
  <si>
    <t>1. Hiển thị đủ 2 sản phẩm (khớp "+1 sản phẩm khác" ở danh sách); mỗi sản phẩm có ảnh, tên đầy đủ, giá (590.000đ và 60.000đ), số lượng (SL: 1); dòng "Nhận: Trước 10:47 04/09/2024"; sản phẩm hết hạn bảo hành hiển thị nhãn "HẾT BẢO HÀNH"</t>
  </si>
  <si>
    <t>[Quan sát] Ảnh chụp: nhãn "HẾT BẢO HÀNH" chỉ ở Tai nghe Xiaomi Redmi Buds 6 Active, không có ở cáp sạc - cần xác nhận quy tắc (sản phẩm không bảo hành?).</t>
  </si>
  <si>
    <t>Order_Detail_04</t>
  </si>
  <si>
    <t>Pre-condition:
+ Đã đăng nhập tài khoản khách hàng test
+ Đang ở trang [Chi tiết đơn hàng] của đơn #01967SO24090400320
Step:
1. Cộng tay: giá x số lượng của từng sản phẩm
2. So sánh với "Tổng tiền hàng", "Phí giao hàng + chuyển hàng", "Tổng thanh toán" và với "Tổng tiền hàng" ở danh sách</t>
  </si>
  <si>
    <t>1. Tổng cộng = 590.000 + 60.000 = 650.000đ
2. Tổng tiền hàng = 650.000đ; Phí giao hàng + chuyển hàng = "Miễn phí"; Tổng thanh toán = 650.000đ (= Tổng tiền hàng + phí - giảm giá); khớp với "Tổng tiền hàng: 650.000đ" ở danh sách</t>
  </si>
  <si>
    <t>Order_Detail_05</t>
  </si>
  <si>
    <t>Pre-condition:
+ Đã đăng nhập tài khoản khách hàng test
+ Đang ở trang [Chi tiết đơn hàng] của đơn #01967SO24090400320
Step:
1. Xem dòng [Cần thanh toán] của đơn #01967SO24090400320 (trạng thái Thành Công)</t>
  </si>
  <si>
    <t>1. Đơn đã giao và thanh toán xong nên [Cần thanh toán] phải là 0đ (hoặc không hiển thị), không còn số tiền phải trả</t>
  </si>
  <si>
    <t>[Quan sát] NGHI VẤN LỖI: ảnh chụp đơn "Thành Công" vẫn hiển thị "Cần thanh toán: 650.000đ". Cần xác nhận nghiệp vụ; nếu tái hiện được, ghi nhận bug (Failed).</t>
  </si>
  <si>
    <t>Order_Invoice_01</t>
  </si>
  <si>
    <t>Pre-condition:
+ Đã đăng nhập tài khoản khách hàng test
+ Đang ở trang [Chi tiết đơn hàng] của đơn #01967SO24090400320
Step:
1. Tại chi tiết đơn #01967SO24090400320, click [Xem hóa đơn]</t>
  </si>
  <si>
    <t>1. Mở trang hddt.thegioididong.com kèm tham số data trên URL (cùng tab hoặc tab mới); trang hiển thị tiêu đề "TRA CỨU HÓA ĐƠN ĐIỆN TỬ CỦA BẠN"</t>
  </si>
  <si>
    <t>[Cần xác nhận] Cần xác nhận mở cùng tab hay tab mới (ảnh hưởng đến trải nghiệm quay lại).</t>
  </si>
  <si>
    <t>Order_Invoice_02</t>
  </si>
  <si>
    <t>Pre-condition:
+ Đã đăng nhập tài khoản khách hàng test
+ Đã click [Xem hóa đơn] ở chi tiết đơn #01967SO24090400320, đang ở trang "TRA CỨU HÓA ĐƠN ĐIỆN TỬ CỦA BẠN" (hddt.thegioididong.com)
Step:
1. Xem bảng kết quả, đối chiếu với đơn hàng</t>
  </si>
  <si>
    <t>1. Bảng gồm các cột: Mẫu HĐ, Ký hiệu HĐ, Số hóa đơn, Ngày HĐ, Tình trạng, Ghi chú, Chức năng. Dữ liệu khớp đơn (ví dụ Mẫu 1, Ký hiệu 1K24TAG, Số HĐ 705384, Ngày HĐ 04-09-2024 trùng ngày đặt đơn, Tình trạng "đang sử dụng"); cột Chức năng có XEM | Tải HĐ chuyển đổi | TẢI XML</t>
  </si>
  <si>
    <t>Order_Invoice_03</t>
  </si>
  <si>
    <t>Pre-condition:
+ Đã đăng nhập tài khoản khách hàng test
+ Đã click [Xem hóa đơn] ở chi tiết đơn #01967SO24090400320, đang ở trang "TRA CỨU HÓA ĐƠN ĐIỆN TỬ CỦA BẠN" (hddt.thegioididong.com)
Step:
1. Click [XEM] ở dòng hóa đơn</t>
  </si>
  <si>
    <t>1. Hiển thị hóa đơn đúng: đơn vị bán, người mua, danh sách hàng hóa (Tai nghe, Cáp sạc), tổng tiền 650.000đ, ngày 04/09/2024, số HĐ 705384; nội dung rõ nét, không lỗi font</t>
  </si>
  <si>
    <t>Order_Invoice_04</t>
  </si>
  <si>
    <t>Pre-condition:
+ Đã đăng nhập tài khoản khách hàng test
+ Đã click [Xem hóa đơn] ở chi tiết đơn #01967SO24090400320, đang ở trang "TRA CỨU HÓA ĐƠN ĐIỆN TỬ CỦA BẠN" (hddt.thegioididong.com)
Step:
1. Click [Tải HĐ chuyển đổi]
2. Mở file đã tải</t>
  </si>
  <si>
    <t>1. File được tải về thành công (tên file hợp lý)
2. File mở được, nội dung khớp hóa đơn (số HĐ 705384, tổng 650.000đ)</t>
  </si>
  <si>
    <t>Order_Invoice_05</t>
  </si>
  <si>
    <t>Pre-condition:
+ Đã đăng nhập tài khoản khách hàng test
+ Đã click [Xem hóa đơn] ở chi tiết đơn #01967SO24090400320, đang ở trang "TRA CỨU HÓA ĐƠN ĐIỆN TỬ CỦA BẠN" (hddt.thegioididong.com)
+ Đã ghi lại giá trị 2 ô được điền sẵn (mã đơn và mã tra cứu) để dùng lại ở bước 2
Step:
1. Giữ mã đơn đúng, sửa 1 ký tự của mã tra cứu, click [TRA CỨU HÓA ĐƠN]
2. Nhập mã đơn không tồn tại (ví dụ 99999OV99999999999) cùng mã tra cứu đúng, click [TRA CỨU HÓA ĐƠN]</t>
  </si>
  <si>
    <t>1. Thông báo không tìm thấy hóa đơn; không hiển thị hóa đơn nào
2. Thông báo không tìm thấy hóa đơn; không lộ thông tin</t>
  </si>
  <si>
    <t>Review</t>
  </si>
  <si>
    <t>Review_View_01</t>
  </si>
  <si>
    <t>Pre-condition:
+ Đang xem trang sản phẩm Nồi cơm điện tử Kangaroo 1.8 lít KGRC18D3G
Step:
1. Mở trang sản phẩm Nồi cơm điện tử Kangaroo 1.8 lít KGRC18D3G
2. Cuộn tới khu vực [Đánh giá Nồi cơm điện tử Kangaroo 1.8 lít KGRC18D3G] và quan sát phần tổng quan</t>
  </si>
  <si>
    <t>1. Trang sản phẩm hiển thị đầy đủ
2. Có tiêu đề khu vực đánh giá; điểm trung bình "4.9/5" kèm ngôi sao; "4.4k khách hài lòng"; "2 đánh giá"; biểu đồ phân bố 5 → 1 sao với tỷ lệ phần trăm; nút [Viết đánh giá]</t>
  </si>
  <si>
    <t>Số liệu mẫu theo thời điểm khảo sát, giá trị thực có thể thay đổi.</t>
  </si>
  <si>
    <t>Review_View_02</t>
  </si>
  <si>
    <t>Pre-condition:
+ Đang xem trang sản phẩm Nồi cơm điện tử Kangaroo 1.8 lít KGRC18D3G
Step:
1. Ghi lại điểm trung bình, số đánh giá, % từng mức sao
2. Đếm số đánh giá trong danh sách và đối chiếu số sao từng đánh giá
3. Cộng tổng % các mức sao</t>
  </si>
  <si>
    <t>1. Số liệu được ghi nhận
2. Số đánh giá và phân bố sao khớp với danh sách đánh giá hiển thị (có đánh giá 1 sao thì mức 1 sao phải &gt; 0%)
3. Tổng % = 100% (sai số làm tròn &lt;= 0,1%); điểm trung bình khớp với phân bố</t>
  </si>
  <si>
    <t>[Quan sát] NGHI VẤN LỖI: ảnh chụp cho thấy 5 sao = 99.9%, 1-4 sao = 0%, trong khi danh sách có 1 đánh giá 1 sao (Ngân) và 1 đánh giá 2 sao (Trương Quyết); "2 đánh giá" nhưng "4.4k khách hài lòng". [Cần xác nhận] Có thể thống kê tính cả lượt chấm sao không kèm bình luận; cần xác nhận quy tắc tính.</t>
  </si>
  <si>
    <t>Review_View_03</t>
  </si>
  <si>
    <t>Pre-condition:
+ Đang xem trang sản phẩm Nồi cơm điện tử Kangaroo 1.8 lít KGRC18D3G
Step:
1. Xem lần lượt từng đánh giá trong danh sách</t>
  </si>
  <si>
    <t>1. Mỗi đánh giá có: tên người đánh giá, nhãn "Đã mua tại ĐMX" (nếu đã mua), số sao (tô màu đúng số sao đã chấm), nội dung, thời gian sử dụng (ví dụ "Đã dùng khoảng 1 tuần"), nút [Hữu ích] kèm số lượng; nếu có phản hồi thì hiển thị dòng phản hồi (ví dụ "Đánh giá này đã được chuyển tới bộ phận hỗ trợ", "Bộ phận bán hàng đã liên hệ hỗ trợ ngày 12/04/2026")</t>
  </si>
  <si>
    <t>[Quan sát] Ví dụ: Ngân (1 sao), Trương Quyết (2 sao, "Hữu ích (139)").</t>
  </si>
  <si>
    <t>Review_View_04</t>
  </si>
  <si>
    <t>Pre-condition:
+ Đang xem trang sản phẩm Nồi cơm điện tử Kangaroo 1.8 lít KGRC18D3G
Step:
1. Xem đánh giá của "Trương Quyết" (nội dung dài ~ 300 ký tự)</t>
  </si>
  <si>
    <t>1. Nội dung hiển thị đầy đủ hoặc có [Xem thêm]; xuống dòng đúng, không tràn khỏi khung, không đè lên nút [Hữu ích]</t>
  </si>
  <si>
    <t>Review_View_05</t>
  </si>
  <si>
    <t>Pre-condition:
+ Cần một sản phẩm chưa có đánh giá
Step:
1. Mở trang một sản phẩm chưa có đánh giá, cuộn tới khu vực đánh giá</t>
  </si>
  <si>
    <t>1. Hiển thị trạng thái chưa có đánh giá (không hiển thị điểm/biểu đồ sai như NaN, 0/5), vẫn có nút [Viết đánh giá]; không lỗi</t>
  </si>
  <si>
    <t>[KHÔNG THỂ THỰC THI THẬT] Cần tìm được sản phẩm chưa có đánh giá. Nếu không tìm thấy, đánh dấu Skipped.</t>
  </si>
  <si>
    <t>Review_Like_01</t>
  </si>
  <si>
    <t>Pre-condition:
+ Đã đăng nhập tài khoản khách hàng test
+ Đang ở trang sản phẩm Nồi cơm điện tử Kangaroo 1.8 lít KGRC18D3G (/noi-com-dien/noi-com-dien-tu-kangaroo-18-lit-kgrc18d3g)
+ Đã cuộn tới khu vực [Đánh giá Nồi cơm điện tử Kangaroo 1.8 lít KGRC18D3G]
Step:
1. Ghi lại số lượng [Hữu ích] của đánh giá "Trương Quyết" (ví dụ 139)
2. Click [Hữu ích]</t>
  </si>
  <si>
    <t>1. Số lượng được ghi nhận
2. Nút đổi sang trạng thái đã chọn (đổi màu/biểu tượng); số lượng tăng đúng 1 (139 → 140); không tải lại toàn bộ trang</t>
  </si>
  <si>
    <t>[Tác động dữ liệu thật] Làm tăng lượt hữu ích thật trên đánh giá của người khác, có thể hoàn tác (test Review_Like_02 ngay sau đó).</t>
  </si>
  <si>
    <t>Review_Like_02</t>
  </si>
  <si>
    <t>Pre-condition:
+ Đã đăng nhập tài khoản khách hàng test
+ Đang ở trang sản phẩm Nồi cơm điện tử Kangaroo 1.8 lít KGRC18D3G (/noi-com-dien/noi-com-dien-tu-kangaroo-18-lit-kgrc18d3g)
+ Đã cuộn tới khu vực [Đánh giá Nồi cơm điện tử Kangaroo 1.8 lít KGRC18D3G]
Step:
1. Click lại [Hữu ích] ở đánh giá đã chọn ở Review_Like_01</t>
  </si>
  <si>
    <t>1. Nút trở về trạng thái chưa chọn; số lượng giảm 1 về giá trị ban đầu (140 → 139)</t>
  </si>
  <si>
    <t>[Tác động dữ liệu thật] [Cần xác nhận] Cần xác nhận có cho bỏ chọn hay không.</t>
  </si>
  <si>
    <t>Review_Like_03</t>
  </si>
  <si>
    <t>Pre-condition:
+ Đã đăng nhập tài khoản khách hàng test
+ Đang ở trang sản phẩm Nồi cơm điện tử Kangaroo 1.8 lít KGRC18D3G (/noi-com-dien/noi-com-dien-tu-kangaroo-18-lit-kgrc18d3g)
+ Đã cuộn tới khu vực [Đánh giá Nồi cơm điện tử Kangaroo 1.8 lít KGRC18D3G]
Step:
1. Bấm [Hữu ích] ở 1 đánh giá, nhấn F5
2. Đăng xuất, đăng nhập lại và mở lại trang sản phẩm</t>
  </si>
  <si>
    <t>1. Sau F5: nút vẫn ở trạng thái đã chọn, số lượng đúng
2. Sau đăng nhập lại: trạng thái và số lượng đúng với tài khoản này</t>
  </si>
  <si>
    <t>[Tác động dữ liệu thật] Nhớ bỏ chọn sau khi kiểm tra để khôi phục dữ liệu.</t>
  </si>
  <si>
    <t>Review_Like_04</t>
  </si>
  <si>
    <t>Pre-condition:
+ Chưa đăng nhập
+ Đang ở trang sản phẩm Nồi cơm điện tử Kangaroo 1.8 lít KGRC18D3G
+ Đã cuộn tới khu vực [Đánh giá Nồi cơm điện tử Kangaroo 1.8 lít KGRC18D3G]
Step:
1. Click [Hữu ích] ở một đánh giá</t>
  </si>
  <si>
    <t>1. Hệ thống yêu cầu đăng nhập hoặc xử lý nhất quán (ví dụ ghi nhận theo thiết bị); không lỗi, không làm số lượng thay đổi sai</t>
  </si>
  <si>
    <t xml:space="preserve">[Cần xác nhận] Chưa rõ khách chưa đăng nhập có được bấm [Hữu ích] không. [Tác động dữ liệu thật] </t>
  </si>
  <si>
    <t>Review_Form_01</t>
  </si>
  <si>
    <t>Pre-condition:
+ Đã đăng nhập tài khoản khách hàng test
+ Đang ở trang sản phẩm Nồi cơm điện tử Kangaroo 1.8 lít KGRC18D3G (/noi-com-dien/noi-com-dien-tu-kangaroo-18-lit-kgrc18d3g)
+ Đã cuộn tới khu vực [Đánh giá Nồi cơm điện tử Kangaroo 1.8 lít KGRC18D3G]
Step:
1. Click [Viết đánh giá]</t>
  </si>
  <si>
    <t>1. Popup [Đánh giá sản phẩm] mở: ảnh và tên sản phẩm đúng (Nồi cơm điện tử Kangaroo 1.8 lít KGRC18D3G); 5 ngôi sao chưa chọn kèm nhãn Rất tệ / Tệ / Tạm ổn / Tốt / Rất tốt; ô nhận xét trống với gợi ý "Mời bạn chia sẻ thêm cảm nhận..."; checkbox "Tôi sẽ giới thiệu sản phẩm cho bạn bè, người thân"; liên kết [Gửi ảnh thực tế] (tối đa 3 ảnh); [Họ tên (bắt buộc)] và [Số điện thoại (bắt buộc)] điền sẵn từ tài khoản; checkbox đồng ý Chính sách dữ liệu cá nhân (chưa chọn); nút [Gửi đánh giá] bị vô hiệu (màu nhạt); liên kết [Quy định đánh giá], [Chính sách bảo mật thông tin]</t>
  </si>
  <si>
    <t>Review_Form_02</t>
  </si>
  <si>
    <t>Pre-condition:
+ Chưa đăng nhập
+ Đang ở trang sản phẩm Nồi cơm điện tử Kangaroo 1.8 lít KGRC18D3G
+ Đã cuộn tới khu vực [Đánh giá Nồi cơm điện tử Kangaroo 1.8 lít KGRC18D3G]
Step:
1. Click [Viết đánh giá]</t>
  </si>
  <si>
    <t>1. Hệ thống yêu cầu đăng nhập hoặc mở popup với Họ tên/SĐT để trống; hành vi nhất quán, không lỗi</t>
  </si>
  <si>
    <t>[Cần xác nhận] Chưa rõ khách chưa đăng nhập có được viết đánh giá không. Người dùng cho biết có thể đánh giá khi chưa mua sản phẩm.</t>
  </si>
  <si>
    <t>Review_Form_03</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</si>
  <si>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Click sao thứ 1
2. Click sao thứ 2
3. Click sao thứ 3
4. Click sao thứ 4
5. Click sao thứ 5</t>
  </si>
  <si>
    <t>1. 1 sao được tô, nhãn nổi bật "Rất tệ"
2. 2 sao được tô, nhãn "Tệ"
3. 3 sao được tô, nhãn "Tạm ổn" nổi bật (khớp ảnh quan sát)
4. 4 sao được tô, nhãn "Tốt"
5. 5 sao được tô, nhãn "Rất tốt"; mỗi lần chọn chỉ có 1 nhãn nổi bật</t>
  </si>
  <si>
    <t>Review_Form_04</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</si>
  <si>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Chọn 3 sao, giữ nguyên Họ tên/SĐT điền sẵn, KHÔNG tick đồng ý Chính sách dữ liệu cá nhân</t>
  </si>
  <si>
    <t>1. Nút [Gửi đánh giá] vẫn bị vô hiệu (màu nhạt), không click gửi được</t>
  </si>
  <si>
    <t>[Quan sát] Khớp ảnh chụp: 3 sao, Họ tên và SĐT đầy đủ, chưa tick đồng ý, nút bị vô hiệu. Chỉ kiểm tra trạng thái nút, không bấm [Gửi đánh giá].</t>
  </si>
  <si>
    <t>Review_Form_05</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</si>
  <si>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Tick đồng ý Chính sách dữ liệu cá nhân, nhập nội dung nhận xét, KHÔNG chọn sao</t>
  </si>
  <si>
    <t>1. Nút [Gửi đánh giá] vẫn bị vô hiệu hoặc báo thiếu số sao khi bấm</t>
  </si>
  <si>
    <t>[Cần xác nhận]  Chỉ kiểm tra trạng thái nút, không bấm [Gửi đánh giá].</t>
  </si>
  <si>
    <t>Review_Form_06</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</si>
  <si>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Chọn 5 sao, tick đồng ý, để trống ô nhận xét</t>
  </si>
  <si>
    <t>1. Xác định nội dung có bắt buộc không: nếu bắt buộc, nút vô hiệu/báo lỗi; nếu không bắt buộc, nút được bật</t>
  </si>
  <si>
    <t>[Cần xác nhận] Chưa rõ nội dung nhận xét có bắt buộc hay không (ảnh chụp có ô nhận xét "Mời bạn chia sẻ thêm cảm nhận" không ghi bắt buộc). Chỉ kiểm tra trạng thái nút, không bấm [Gửi đánh giá].</t>
  </si>
  <si>
    <t>Review_Form_07</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</si>
  <si>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Chọn 4 sao, nhập nhận xét "Nồi nấu cơm ngon, dễ dùng", giữ Họ tên/SĐT hợp lệ, tick đồng ý Chính sách</t>
  </si>
  <si>
    <t>1. Nút [Gửi đánh giá] được bật (màu xanh đậm); bỏ tick đồng ý → nút bị vô hiệu lại</t>
  </si>
  <si>
    <t>Chỉ kiểm tra trạng thái nút, không bấm [Gửi đánh giá].</t>
  </si>
  <si>
    <t>Review_Form_08</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</si>
  <si>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Xóa trống Họ tên (đã chọn đủ sao, tick đồng ý)
2. Nhập chỉ toàn khoảng trắng
3. Nhập tên có dấu, dài 50 ký tự
4. Nhập tên rất dài (&gt;= 100 ký tự)
5. Nhập tên chứa số và ký tự đặc biệt (@#$%)</t>
  </si>
  <si>
    <t>1. Nút Gửi bị vô hiệu/báo bắt buộc
2. Không chấp nhận (coi là trống)
3. Chấp nhận
4. Bị giới hạn độ dài hoặc báo lỗi, không vỡ giao diện
5. Chặn hoặc chấp nhận theo quy định; không lỗi</t>
  </si>
  <si>
    <t>[Cần xác nhận] Giới hạn độ dài và ký tự cho phép chưa rõ. Chỉ kiểm tra trạng thái nút, không bấm [Gửi đánh giá].</t>
  </si>
  <si>
    <t>Review_Form_09</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</si>
  <si>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Xóa trống số điện thoại
2. Nhập 9 chữ số (097817377)
3. Nhập 10 chữ số hợp lệ (0978173770)
4. Nhập 11 chữ số (09781737701)
5. Nhập chữ cái/ký tự đặc biệt (09781abc70, 0978-173-770)
6. Nhập 10 số không bắt đầu bằng 0 (9781737701)</t>
  </si>
  <si>
    <t>1. Nút Gửi bị vô hiệu/báo bắt buộc
2. Báo SĐT không hợp lệ
3. Chấp nhận
4. Báo không hợp lệ hoặc không cho nhập thêm
5. Không chấp nhận chữ; ký tự đặc biệt bị chặn hoặc báo lỗi
6. Báo SĐT không hợp lệ</t>
  </si>
  <si>
    <t>[Cần xác nhận] Quy tắc SĐT chi tiết chưa rõ. Chỉ kiểm tra trạng thái nút, không bấm [Gửi đánh giá].</t>
  </si>
  <si>
    <t>Review_Form_10</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</si>
  <si>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Sửa Họ tên và SĐT đã điền sẵn thành giá trị khác (hợp lệ)</t>
  </si>
  <si>
    <t>1. Nếu cho sửa: ô nhận giá trị mới; nếu không cho sửa: ô ở trạng thái chỉ đọc; hành vi nhất quán với thông tin tài khoản</t>
  </si>
  <si>
    <t>[Cần xác nhận] Chưa rõ rule. Không bấm gửi để tránh tạo đánh giá thật.</t>
  </si>
  <si>
    <t>Review_Form_11</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</si>
  <si>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Nhập 1 ký tự
2. Nhập nội dung 20 ký tự
3. Dán nội dung rất dài (5000 ký tự)</t>
  </si>
  <si>
    <t>1. Ghi nhận trạng thái nút Gửi/lỗi (có giới hạn tối thiểu hay không)
2. Chấp nhận, nút Gửi bật nếu đủ điều kiện khác
3. Hệ thống giới hạn tối đa hoặc báo vượt; có bộ đếm ký tự (nếu có); giao diện không vỡ</t>
  </si>
  <si>
    <t>[Cần xác nhận] Giới hạn min/max ký tự chưa rõ. Chỉ kiểm tra trạng thái nút, không bấm [Gửi đánh giá].</t>
  </si>
  <si>
    <t>Review_Form_12</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</si>
  <si>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Nhập emoji, tiếng Việt có dấu, ký tự đặc biệt
2. Nhập nhiều dòng (Enter xuống dòng)
3. Nhập &lt;b&gt;test&lt;/b&gt; và &lt;script&gt;alert(1)&lt;/script&gt;</t>
  </si>
  <si>
    <t>1. Nhập và hiển thị đúng trong ô
2. Xuống dòng đúng
3. Ô nhận xét nhận chuỗi như văn bản; không thực thi script, không popup</t>
  </si>
  <si>
    <t>Chỉ kiểm tra phần nhập liệu. Chỉ kiểm tra trạng thái nút, không bấm [Gửi đánh giá].</t>
  </si>
  <si>
    <t>Review_Form_13</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</si>
  <si>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Click [Gửi ảnh thực tế], chọn 1 ảnh JPG hợp lệ
2. Chọn thêm đến đủ 3 ảnh
3. Xóa 1 ảnh đã chọn</t>
  </si>
  <si>
    <t>1. Ảnh hiển thị dạng thu nhỏ kèm nút xóa
2. Hiển thị đủ 3 ảnh
3. Ảnh bị xóa khỏi danh sách; số ảnh còn 2; có thể chọn thêm ảnh khác</t>
  </si>
  <si>
    <t>Review_Form_14</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</si>
  <si>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Đã chọn 3 ảnh, chọn thêm ảnh thứ 4
2. Chọn cùng lúc 4 ảnh từ hộp thoại chọn tệp</t>
  </si>
  <si>
    <t>1. Không nhận ảnh thứ 4 và có thông báo giới hạn tối đa 3 ảnh
2. Chỉ nhận tối đa 3 ảnh hoặc báo lỗi; không lỗi giao diện</t>
  </si>
  <si>
    <t>Review_Form_15</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</si>
  <si>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Chọn tệp PDF/TXT
2. Chọn tệp đổi đuôi thành .jpg nhưng không phải ảnh
3. Chọn ảnh dung lượng lớn (&gt;= 10 MB)
4. Chọn ảnh định dạng khác (PNG, WEBP, GIF, HEIC)</t>
  </si>
  <si>
    <t>1. Không nhận, báo sai định dạng
2. Không nhận hoặc báo lỗi, không hiển thị ảnh hỏng
3. Báo vượt dung lượng hoặc xử lý được; không treo trình duyệt
4. Nhận hoặc báo rõ định dạng được hỗ trợ</t>
  </si>
  <si>
    <t>[Cần xác nhận] Định dạng và dung lượng cho phép chưa rõ.</t>
  </si>
  <si>
    <t>Review_Form_16</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</si>
  <si>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Nhập vài thông tin vào form, click [Chính sách dữ liệu cá nhân]
2. Click [Quy định đánh giá]
3. Click [Chính sách bảo mật thông tin]</t>
  </si>
  <si>
    <t>1. Mở đúng trang chính sách, không 404; nếu mở tab mới thì form giữ nguyên dữ liệu đã nhập
2. Mở đúng trang quy định đánh giá
3. Mở đúng trang chính sách bảo mật</t>
  </si>
  <si>
    <t>[Cần xác nhận] Chưa rõ mở cùng tab hay tab mới (nếu cùng tab, dữ liệu form có thể bị mất).</t>
  </si>
  <si>
    <t>Review_Form_17</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</si>
  <si>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Chọn sao và nhập nội dung, click X
2. Mở lại [Viết đánh giá]
3. Mở popup, nhập nội dung, nhấn phím Esc, rồi click ngoài vùng popup</t>
  </si>
  <si>
    <t>1. Popup đóng (có thể hỏi xác nhận), không tạo đánh giá
2. Form trống hoặc giữ bản nháp theo thiết kế
3. Popup đóng bằng Esc/click ngoài (nếu hỗ trợ); không gửi đánh giá</t>
  </si>
  <si>
    <t>[Cần xác nhận] Chưa rõ hành vi lưu nháp và đóng bằng Esc/click ngoài.</t>
  </si>
  <si>
    <t>Review_Form_18</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</si>
  <si>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Dùng phím Tab di chuyển qua các thành phần của form
2. Nhấn Enter khi form chưa hợp lệ</t>
  </si>
  <si>
    <t>1. Thứ tự focus hợp lý: sao → nhận xét → checkbox → ảnh → họ tên → SĐT → đồng ý → nút Gửi; có viền focus rõ
2. Không gửi được khi form chưa hợp lệ; không lỗi</t>
  </si>
  <si>
    <t>Review_Submit_01</t>
  </si>
  <si>
    <t>Pre-condition:
+ Đã đăng nhập tài khoản khách hàng test
+ Đã click [Viết đánh giá] ở trang sản phẩm Nồi cơm điện tử Kangaroo 1.8 lít KGRC18D3G, popup [Đánh giá sản phẩm] đang mở
+ KHÔNG click [Gửi đánh giá] (tránh tạo đánh giá thật)
Step:
1. Điền đủ thông tin hợp lệ để nút Gửi bật
2. Mở F12 &gt; Network &gt; Offline, rồi click [Gửi đánh giá]
3. Tắt Offline, tải lại trang sản phẩm</t>
  </si>
  <si>
    <t>1. Nút Gửi được bật
2. Hiển thị thông báo lỗi; popup và dữ liệu đã nhập được giữ nguyên; không có thông báo thành công sai
3. Không có đánh giá mới nào được tạo</t>
  </si>
  <si>
    <t>BẮT BUỘC bật Offline trước khi bấm Gửi để tránh tạo đánh giá thật. [Cần xác nhận] Nếu hệ thống tự gửi lại khi có mạng, dừng ngay và báo lại.</t>
  </si>
  <si>
    <t>Review_Submit_02</t>
  </si>
  <si>
    <t>Pre-condition:
+ Tài khoản đã mua sản phẩm được đánh giá
Step:
1. Điền đủ thông tin, click [Gửi đánh giá]
2. Xem lại khu vực đánh giá</t>
  </si>
  <si>
    <t>1. Hiển thị thông báo gửi thành công; popup đóng
2. Đánh giá hiển thị (hoặc chờ duyệt) với nhãn "Đã mua tại ĐMX", đúng số sao, nội dung, tên</t>
  </si>
  <si>
    <t>[KHÔNG THỂ THỰC THI THẬT] Sẽ tạo đánh giá thật công khai trên Production. Đánh dấu Skipped khi chạy hoặc dùng môi trường kiểm thử.</t>
  </si>
  <si>
    <t>Review_Submit_03</t>
  </si>
  <si>
    <t>Pre-condition:
+ Tài khoản chưa mua sản phẩm được đánh giá
Step:
1. Điền đủ thông tin, click [Gửi đánh giá]
2. Xem lại khu vực đánh giá</t>
  </si>
  <si>
    <t>1. Gửi thành công (được phép đánh giá khi chưa mua)
2. Đánh giá hiển thị KHÔNG có nhãn "Đã mua tại ĐMX"</t>
  </si>
  <si>
    <t>[KHÔNG THỂ THỰC THI THẬT] Tạo đánh giá thật trên Production. [Cần xác nhận] Người dùng quan sát thấy có thể đánh giá mà không cần mua; xác nhận đây là thiết kế và nhãn "Đã mua tại ĐMX" chỉ dành cho người đã mua.</t>
  </si>
  <si>
    <t>TEST REPORT</t>
  </si>
  <si>
    <t>Project Name</t>
  </si>
  <si>
    <t>Creator</t>
  </si>
  <si>
    <t>&lt;Họ tên người tạo&gt;</t>
  </si>
  <si>
    <t>Project Code</t>
  </si>
  <si>
    <t>Reviewer/Approver</t>
  </si>
  <si>
    <t>&lt;Họ tên người duyệt&gt;</t>
  </si>
  <si>
    <t>Document Code</t>
  </si>
  <si>
    <t>Issue Date</t>
  </si>
  <si>
    <t>Notes</t>
  </si>
  <si>
    <t>No</t>
  </si>
  <si>
    <t>Module code</t>
  </si>
  <si>
    <t>Pass</t>
  </si>
  <si>
    <t>Fail</t>
  </si>
  <si>
    <t>Number of  test cases</t>
  </si>
  <si>
    <t>Sub total</t>
  </si>
  <si>
    <t>Test coverage</t>
  </si>
  <si>
    <t>%</t>
  </si>
  <si>
    <t>Test successful coverage</t>
  </si>
  <si>
    <t>Release 1 gồm 3 chức năng của website Điện Máy Xanh: Voucher (Kho voucher), Order (Quản lý và tra cứu đơn hàng), Review (Đánh giá sản phẩm). Tổng 89 test case, hiện đang ở trạng thái Untested (chưa thực thi). Các case gắn thẻ [KHÔNG THỂ THỰC THI THẬT] cần đặt Skipped/Blocked khi chạy.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</si>
</sst>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9" x14ac:knownFonts="1">
    <font>
      <sz val="11"/>
      <color theme="1"/>
      <name val="Calibri"/>
      <family val="2"/>
      <scheme val="minor"/>
    </font>
    <font>
      <sz val="11"/>
      <color rgb="FF000000"/>
      <name val="Calibri"/>
      <charset val="1"/>
    </font>
    <font>
      <sz val="10"/>
      <color rgb="FF000000"/>
      <name val="Tahoma"/>
      <charset val="1"/>
    </font>
    <font>
      <sz val="10"/>
      <color theme="1"/>
      <name val="Tahoma"/>
      <charset val="1"/>
    </font>
    <font>
      <b/>
      <sz val="10"/>
      <color theme="1"/>
      <name val="Tahoma"/>
      <charset val="1"/>
    </font>
    <font>
      <sz val="10"/>
      <color rgb="FFFF0000"/>
      <name val="Tahoma"/>
      <charset val="1"/>
    </font>
    <font>
      <i/>
      <sz val="10"/>
      <color rgb="FF008000"/>
      <name val="Tahoma"/>
      <charset val="1"/>
    </font>
    <font>
      <b/>
      <sz val="10"/>
      <color rgb="FF000000"/>
      <name val="Tahoma"/>
      <charset val="1"/>
    </font>
    <font>
      <b/>
      <sz val="10"/>
      <color rgb="FFFFFFFF"/>
      <name val="Tahoma"/>
      <charset val="1"/>
    </font>
    <font>
      <b/>
      <sz val="10"/>
      <color rgb="FFFF0000"/>
      <name val="Tahoma"/>
      <charset val="1"/>
    </font>
    <font>
      <sz val="10"/>
      <color theme="1"/>
      <name val="Calibri"/>
      <charset val="1"/>
    </font>
    <font>
      <sz val="10"/>
      <name val="Arial"/>
      <family val="2"/>
    </font>
    <font>
      <b/>
      <sz val="10"/>
      <color theme="1"/>
      <name val="Arial"/>
      <charset val="1"/>
    </font>
    <font>
      <b/>
      <sz val="10"/>
      <color theme="1"/>
      <name val="Calibri"/>
      <charset val="1"/>
    </font>
    <font>
      <sz val="10"/>
      <color theme="1"/>
      <name val="Arial"/>
      <charset val="1"/>
    </font>
    <font>
      <b/>
      <sz val="20"/>
      <color rgb="FF000000"/>
      <name val="Tahoma"/>
      <charset val="1"/>
    </font>
    <font>
      <b/>
      <sz val="10"/>
      <color rgb="FF993300"/>
      <name val="Tahoma"/>
      <charset val="1"/>
    </font>
    <font>
      <sz val="10"/>
      <color rgb="FFFFFFFF"/>
      <name val="Tahoma"/>
      <charset val="1"/>
    </font>
    <font>
      <b/>
      <sz val="10"/>
      <color rgb="FF0000FF"/>
      <name val="Tahoma"/>
      <charset val="1"/>
    </font>
  </fonts>
  <fills count="5">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00CCFF"/>
        <bgColor rgb="FF33CCCC"/>
      </patternFill>
    </fill>
  </fills>
  <borders count="25">
    <border>
      <left/>
      <right/>
      <top/>
      <bottom/>
      <diagonal/>
    </border>
    <border>
      <left/>
      <right/>
      <top/>
      <bottom style="medium">
        <color auto="1"/>
      </bottom>
      <diagonal/>
    </border>
    <border>
      <left style="medium">
        <color auto="1"/>
      </left>
      <right/>
      <top/>
      <bottom style="thin">
        <color auto="1"/>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style="thin">
        <color auto="1"/>
      </bottom>
      <diagonal/>
    </border>
    <border>
      <left/>
      <right style="thin">
        <color auto="1"/>
      </right>
      <top style="thin">
        <color auto="1"/>
      </top>
      <bottom style="thin">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diagonal/>
    </border>
    <border>
      <left/>
      <right style="medium">
        <color auto="1"/>
      </right>
      <top/>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medium">
        <color auto="1"/>
      </right>
      <top style="thin">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medium">
        <color auto="1"/>
      </right>
      <top style="hair">
        <color auto="1"/>
      </top>
      <bottom style="hair">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medium">
        <color auto="1"/>
      </right>
      <top style="hair">
        <color auto="1"/>
      </top>
      <bottom style="thin">
        <color auto="1"/>
      </bottom>
      <diagonal/>
    </border>
  </borders>
  <cellStyleXfs count="2">
    <xf numFmtId="0" fontId="0" fillId="0" borderId="0"/>
    <xf numFmtId="0" fontId="1" fillId="0" borderId="0"/>
  </cellStyleXfs>
  <cellXfs count="76">
    <xf numFmtId="0" fontId="0" fillId="0" borderId="0" xfId="0"/>
    <xf numFmtId="0" fontId="2" fillId="2" borderId="1" xfId="1" applyFont="1" applyFill="1" applyBorder="1"/>
    <xf numFmtId="0" fontId="2" fillId="2" borderId="0" xfId="1" applyFont="1" applyFill="1" applyAlignment="1">
      <alignment wrapText="1"/>
    </xf>
    <xf numFmtId="0" fontId="3" fillId="2" borderId="0" xfId="1" applyFont="1" applyFill="1" applyAlignment="1">
      <alignment wrapText="1"/>
    </xf>
    <xf numFmtId="0" fontId="4" fillId="2" borderId="0" xfId="1" applyFont="1" applyFill="1" applyAlignment="1">
      <alignment wrapText="1"/>
    </xf>
    <xf numFmtId="0" fontId="5" fillId="2" borderId="0" xfId="1" applyFont="1" applyFill="1" applyAlignment="1">
      <alignment wrapText="1"/>
    </xf>
    <xf numFmtId="0" fontId="2" fillId="2" borderId="0" xfId="1" applyFont="1" applyFill="1"/>
    <xf numFmtId="0" fontId="1" fillId="0" borderId="0" xfId="1"/>
    <xf numFmtId="0" fontId="4" fillId="2" borderId="2" xfId="1" applyFont="1" applyFill="1" applyBorder="1" applyAlignment="1">
      <alignment horizontal="left" wrapText="1"/>
    </xf>
    <xf numFmtId="0" fontId="4" fillId="2" borderId="4" xfId="1" applyFont="1" applyFill="1" applyBorder="1" applyAlignment="1">
      <alignment horizontal="left" wrapText="1"/>
    </xf>
    <xf numFmtId="0" fontId="7" fillId="2" borderId="4" xfId="1" applyFont="1" applyFill="1" applyBorder="1" applyAlignment="1">
      <alignment horizontal="center" vertical="center"/>
    </xf>
    <xf numFmtId="0" fontId="7" fillId="2" borderId="3" xfId="1" applyFont="1" applyFill="1" applyBorder="1" applyAlignment="1">
      <alignment horizontal="center" vertical="center" wrapText="1"/>
    </xf>
    <xf numFmtId="0" fontId="7" fillId="2" borderId="3" xfId="1" applyFont="1" applyFill="1" applyBorder="1" applyAlignment="1">
      <alignment vertical="center" wrapText="1"/>
    </xf>
    <xf numFmtId="0" fontId="5" fillId="2" borderId="0" xfId="1" applyFont="1" applyFill="1" applyAlignment="1">
      <alignment horizontal="center" wrapText="1"/>
    </xf>
    <xf numFmtId="0" fontId="2" fillId="2" borderId="5" xfId="1" applyFont="1" applyFill="1" applyBorder="1" applyAlignment="1">
      <alignment horizontal="center" vertical="center"/>
    </xf>
    <xf numFmtId="0" fontId="2" fillId="2" borderId="3" xfId="1" applyFont="1" applyFill="1" applyBorder="1" applyAlignment="1">
      <alignment horizontal="center" vertical="center"/>
    </xf>
    <xf numFmtId="0" fontId="2" fillId="2" borderId="3" xfId="1" applyFont="1" applyFill="1" applyBorder="1" applyAlignment="1">
      <alignment vertical="center" wrapText="1"/>
    </xf>
    <xf numFmtId="0" fontId="2" fillId="2" borderId="0" xfId="1" applyFont="1" applyFill="1" applyAlignment="1">
      <alignment horizontal="center" wrapText="1"/>
    </xf>
    <xf numFmtId="0" fontId="3" fillId="2" borderId="0" xfId="1" applyFont="1" applyFill="1" applyAlignment="1">
      <alignment horizontal="center" wrapText="1"/>
    </xf>
    <xf numFmtId="0" fontId="8" fillId="3" borderId="6" xfId="1" applyFont="1" applyFill="1" applyBorder="1" applyAlignment="1">
      <alignment horizontal="center" vertical="center" wrapText="1"/>
    </xf>
    <xf numFmtId="0" fontId="8" fillId="3" borderId="7" xfId="1" applyFont="1" applyFill="1" applyBorder="1" applyAlignment="1">
      <alignment horizontal="center" vertical="center" wrapText="1"/>
    </xf>
    <xf numFmtId="0" fontId="8" fillId="3" borderId="8" xfId="1" applyFont="1" applyFill="1" applyBorder="1" applyAlignment="1">
      <alignment horizontal="center" vertical="center" wrapText="1"/>
    </xf>
    <xf numFmtId="0" fontId="8" fillId="3" borderId="9" xfId="1" applyFont="1" applyFill="1" applyBorder="1" applyAlignment="1">
      <alignment horizontal="center" vertical="center" wrapText="1"/>
    </xf>
    <xf numFmtId="0" fontId="9" fillId="2" borderId="0" xfId="1" applyFont="1" applyFill="1" applyAlignment="1">
      <alignment horizontal="center" vertical="center" wrapText="1"/>
    </xf>
    <xf numFmtId="0" fontId="3" fillId="2" borderId="10" xfId="1" applyFont="1" applyFill="1" applyBorder="1" applyAlignment="1">
      <alignment vertical="top" wrapText="1"/>
    </xf>
    <xf numFmtId="0" fontId="10" fillId="0" borderId="3" xfId="1" applyFont="1" applyBorder="1" applyAlignment="1">
      <alignment horizontal="left" vertical="top" wrapText="1"/>
    </xf>
    <xf numFmtId="0" fontId="3" fillId="2" borderId="3" xfId="1" applyFont="1" applyFill="1" applyBorder="1" applyAlignment="1">
      <alignment vertical="top" wrapText="1"/>
    </xf>
    <xf numFmtId="164" fontId="3" fillId="2" borderId="3" xfId="1" applyNumberFormat="1" applyFont="1" applyFill="1" applyBorder="1" applyAlignment="1">
      <alignment vertical="top" wrapText="1"/>
    </xf>
    <xf numFmtId="0" fontId="12" fillId="4" borderId="11" xfId="1" applyFont="1" applyFill="1" applyBorder="1" applyAlignment="1">
      <alignment horizontal="center" vertical="center" wrapText="1"/>
    </xf>
    <xf numFmtId="0" fontId="13" fillId="0" borderId="0" xfId="1" applyFont="1" applyAlignment="1">
      <alignment horizontal="center" vertical="center"/>
    </xf>
    <xf numFmtId="0" fontId="14" fillId="0" borderId="11" xfId="1" applyFont="1" applyBorder="1" applyAlignment="1">
      <alignment vertical="center" wrapText="1"/>
    </xf>
    <xf numFmtId="0" fontId="14" fillId="0" borderId="11" xfId="1" applyFont="1" applyBorder="1" applyAlignment="1">
      <alignment horizontal="left" vertical="center" wrapText="1"/>
    </xf>
    <xf numFmtId="0" fontId="14" fillId="0" borderId="12" xfId="1" applyFont="1" applyBorder="1" applyAlignment="1">
      <alignment horizontal="left" vertical="center" wrapText="1"/>
    </xf>
    <xf numFmtId="0" fontId="2" fillId="2" borderId="1" xfId="1" applyFont="1" applyFill="1" applyBorder="1" applyAlignment="1">
      <alignment wrapText="1"/>
    </xf>
    <xf numFmtId="0" fontId="3" fillId="2" borderId="1" xfId="1" applyFont="1" applyFill="1" applyBorder="1" applyAlignment="1">
      <alignment wrapText="1"/>
    </xf>
    <xf numFmtId="0" fontId="8" fillId="3" borderId="3" xfId="1" applyFont="1" applyFill="1" applyBorder="1" applyAlignment="1">
      <alignment horizontal="center" vertical="center" wrapText="1"/>
    </xf>
    <xf numFmtId="0" fontId="8" fillId="3" borderId="13" xfId="1" applyFont="1" applyFill="1" applyBorder="1" applyAlignment="1">
      <alignment horizontal="center" vertical="center" wrapText="1"/>
    </xf>
    <xf numFmtId="0" fontId="6" fillId="2" borderId="3" xfId="1" applyFont="1" applyFill="1" applyBorder="1" applyAlignment="1">
      <alignment horizontal="left" vertical="top" wrapText="1"/>
    </xf>
    <xf numFmtId="0" fontId="3" fillId="2" borderId="0" xfId="1" applyFont="1" applyFill="1"/>
    <xf numFmtId="0" fontId="4" fillId="2" borderId="0" xfId="1" applyFont="1" applyFill="1"/>
    <xf numFmtId="15" fontId="3" fillId="2" borderId="0" xfId="1" applyNumberFormat="1" applyFont="1" applyFill="1"/>
    <xf numFmtId="0" fontId="16" fillId="2" borderId="3" xfId="1" applyFont="1" applyFill="1" applyBorder="1" applyAlignment="1">
      <alignment horizontal="left" vertical="center"/>
    </xf>
    <xf numFmtId="0" fontId="16" fillId="2" borderId="10" xfId="1" applyFont="1" applyFill="1" applyBorder="1" applyAlignment="1">
      <alignment horizontal="left"/>
    </xf>
    <xf numFmtId="0" fontId="3" fillId="2" borderId="10" xfId="1" applyFont="1" applyFill="1" applyBorder="1" applyAlignment="1">
      <alignment vertical="top"/>
    </xf>
    <xf numFmtId="0" fontId="16" fillId="2" borderId="3" xfId="1" applyFont="1" applyFill="1" applyBorder="1" applyAlignment="1">
      <alignment vertical="center"/>
    </xf>
    <xf numFmtId="164" fontId="16" fillId="2" borderId="10" xfId="1" applyNumberFormat="1" applyFont="1" applyFill="1" applyBorder="1" applyAlignment="1">
      <alignment horizontal="left"/>
    </xf>
    <xf numFmtId="0" fontId="6" fillId="2" borderId="10" xfId="1" applyFont="1" applyFill="1" applyBorder="1" applyAlignment="1">
      <alignment vertical="top"/>
    </xf>
    <xf numFmtId="0" fontId="16" fillId="2" borderId="0" xfId="1" applyFont="1" applyFill="1"/>
    <xf numFmtId="0" fontId="6" fillId="2" borderId="0" xfId="1" applyFont="1" applyFill="1"/>
    <xf numFmtId="0" fontId="3" fillId="2" borderId="14" xfId="1" applyFont="1" applyFill="1" applyBorder="1"/>
    <xf numFmtId="0" fontId="8" fillId="3" borderId="15" xfId="1" applyFont="1" applyFill="1" applyBorder="1" applyAlignment="1">
      <alignment horizontal="center"/>
    </xf>
    <xf numFmtId="0" fontId="8" fillId="3" borderId="16" xfId="1" applyFont="1" applyFill="1" applyBorder="1" applyAlignment="1">
      <alignment horizontal="center"/>
    </xf>
    <xf numFmtId="0" fontId="8" fillId="3" borderId="16" xfId="1" applyFont="1" applyFill="1" applyBorder="1" applyAlignment="1">
      <alignment horizontal="center" wrapText="1"/>
    </xf>
    <xf numFmtId="0" fontId="8" fillId="3" borderId="17" xfId="1" applyFont="1" applyFill="1" applyBorder="1" applyAlignment="1">
      <alignment horizontal="center"/>
    </xf>
    <xf numFmtId="0" fontId="8" fillId="3" borderId="18" xfId="1" applyFont="1" applyFill="1" applyBorder="1" applyAlignment="1">
      <alignment horizontal="center" wrapText="1"/>
    </xf>
    <xf numFmtId="0" fontId="3" fillId="2" borderId="19" xfId="1" applyFont="1" applyFill="1" applyBorder="1" applyAlignment="1">
      <alignment horizontal="center"/>
    </xf>
    <xf numFmtId="0" fontId="3" fillId="2" borderId="11" xfId="1" applyFont="1" applyFill="1" applyBorder="1"/>
    <xf numFmtId="0" fontId="3" fillId="2" borderId="11" xfId="1" applyFont="1" applyFill="1" applyBorder="1" applyAlignment="1">
      <alignment horizontal="center"/>
    </xf>
    <xf numFmtId="0" fontId="3" fillId="2" borderId="20" xfId="1" applyFont="1" applyFill="1" applyBorder="1" applyAlignment="1">
      <alignment horizontal="center"/>
    </xf>
    <xf numFmtId="0" fontId="3" fillId="2" borderId="21" xfId="1" applyFont="1" applyFill="1" applyBorder="1" applyAlignment="1">
      <alignment horizontal="center"/>
    </xf>
    <xf numFmtId="0" fontId="17" fillId="3" borderId="22" xfId="1" applyFont="1" applyFill="1" applyBorder="1" applyAlignment="1">
      <alignment horizontal="center"/>
    </xf>
    <xf numFmtId="0" fontId="8" fillId="3" borderId="23" xfId="1" applyFont="1" applyFill="1" applyBorder="1"/>
    <xf numFmtId="0" fontId="17" fillId="3" borderId="23" xfId="1" applyFont="1" applyFill="1" applyBorder="1" applyAlignment="1">
      <alignment horizontal="center"/>
    </xf>
    <xf numFmtId="0" fontId="17" fillId="3" borderId="24" xfId="1" applyFont="1" applyFill="1" applyBorder="1" applyAlignment="1">
      <alignment horizontal="center"/>
    </xf>
    <xf numFmtId="0" fontId="3" fillId="2" borderId="0" xfId="1" applyFont="1" applyFill="1" applyAlignment="1">
      <alignment horizontal="center"/>
    </xf>
    <xf numFmtId="10" fontId="3" fillId="2" borderId="0" xfId="1" applyNumberFormat="1" applyFont="1" applyFill="1" applyAlignment="1">
      <alignment horizontal="center"/>
    </xf>
    <xf numFmtId="9" fontId="3" fillId="2" borderId="0" xfId="1" applyNumberFormat="1" applyFont="1" applyFill="1" applyAlignment="1">
      <alignment horizontal="center"/>
    </xf>
    <xf numFmtId="0" fontId="16" fillId="2" borderId="0" xfId="1" applyFont="1" applyFill="1" applyAlignment="1">
      <alignment horizontal="left"/>
    </xf>
    <xf numFmtId="2" fontId="18" fillId="2" borderId="0" xfId="1" applyNumberFormat="1" applyFont="1" applyFill="1" applyAlignment="1">
      <alignment horizontal="right" wrapText="1"/>
    </xf>
    <xf numFmtId="0" fontId="6" fillId="2" borderId="3" xfId="1" applyFont="1" applyFill="1" applyBorder="1" applyAlignment="1">
      <alignment vertical="top" wrapText="1"/>
    </xf>
    <xf numFmtId="0" fontId="15" fillId="2" borderId="0" xfId="1" applyFont="1" applyFill="1" applyAlignment="1">
      <alignment horizontal="center"/>
    </xf>
    <xf numFmtId="0" fontId="6" fillId="2" borderId="3" xfId="1" applyFont="1" applyFill="1" applyBorder="1" applyAlignment="1">
      <alignment horizontal="left"/>
    </xf>
    <xf numFmtId="0" fontId="16" fillId="2" borderId="3" xfId="1" applyFont="1" applyFill="1" applyBorder="1" applyAlignment="1">
      <alignment horizontal="left"/>
    </xf>
    <xf numFmtId="0" fontId="6" fillId="2" borderId="3" xfId="1" applyFont="1" applyFill="1" applyBorder="1" applyAlignment="1">
      <alignment horizontal="left" vertical="center" wrapText="1"/>
    </xf>
    <xf numFmtId="0" fontId="7" fillId="2" borderId="3" xfId="1" applyFont="1" applyFill="1" applyBorder="1" applyAlignment="1">
      <alignment horizontal="center" vertical="center" wrapText="1"/>
    </xf>
    <xf numFmtId="0" fontId="2" fillId="2" borderId="3" xfId="1" applyFont="1" applyFill="1" applyBorder="1" applyAlignment="1">
      <alignment horizontal="center" vertical="center" wrapText="1"/>
    </xf>
  </cellXfs>
  <cellStyles count="2">
    <cellStyle name="Normal" xfId="0" builtinId="0"/>
    <cellStyle name="Normal 2" xfId="1" xr:uid="{471ADE08-7753-4BB1-ADF4-ACC04C7F832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H&#7884;C%20K&#7922;%207\Software%20Testing\Project\DMX_TestCase_TestDesign_TestReport_V0.4.xlsx" TargetMode="External"/><Relationship Id="rId1" Type="http://schemas.openxmlformats.org/officeDocument/2006/relationships/externalLinkPath" Target="file:///D:\H&#7884;C%20K&#7922;%207\Software%20Testing\Project\DMX_TestCase_TestDesign_TestReport_V0.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Name val="Test case List"/>
      <sheetName val="TestDesign"/>
      <sheetName val="Voucher"/>
      <sheetName val="Order Management"/>
      <sheetName val="Review"/>
      <sheetName val="Test Report"/>
    </sheetNames>
    <sheetDataSet>
      <sheetData sheetId="0">
        <row r="4">
          <cell r="C4" t="str">
            <v>Điện Máy Xanh Website</v>
          </cell>
        </row>
        <row r="5">
          <cell r="C5" t="str">
            <v>DMX-WEB</v>
          </cell>
        </row>
      </sheetData>
      <sheetData sheetId="1"/>
      <sheetData sheetId="2"/>
      <sheetData sheetId="3">
        <row r="2">
          <cell r="B2" t="str">
            <v>Voucher và Mã giảm giá</v>
          </cell>
        </row>
        <row r="6">
          <cell r="A6">
            <v>24</v>
          </cell>
          <cell r="B6">
            <v>3</v>
          </cell>
          <cell r="C6">
            <v>0</v>
          </cell>
          <cell r="D6">
            <v>0</v>
          </cell>
          <cell r="E6">
            <v>2</v>
          </cell>
          <cell r="F6">
            <v>29</v>
          </cell>
        </row>
      </sheetData>
      <sheetData sheetId="4">
        <row r="2">
          <cell r="B2" t="str">
            <v>Order</v>
          </cell>
        </row>
        <row r="6">
          <cell r="A6">
            <v>0</v>
          </cell>
          <cell r="B6">
            <v>0</v>
          </cell>
          <cell r="C6">
            <v>30</v>
          </cell>
          <cell r="D6">
            <v>0</v>
          </cell>
          <cell r="E6">
            <v>0</v>
          </cell>
          <cell r="F6">
            <v>30</v>
          </cell>
        </row>
      </sheetData>
      <sheetData sheetId="5">
        <row r="2">
          <cell r="B2" t="str">
            <v>Review</v>
          </cell>
        </row>
        <row r="6">
          <cell r="A6">
            <v>0</v>
          </cell>
          <cell r="B6">
            <v>0</v>
          </cell>
          <cell r="C6">
            <v>30</v>
          </cell>
          <cell r="D6">
            <v>0</v>
          </cell>
          <cell r="E6">
            <v>0</v>
          </cell>
          <cell r="F6">
            <v>30</v>
          </cell>
        </row>
      </sheetData>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E447C0-03FC-4996-B82A-67D1E28855B9}" name="Table_23" displayName="Table_23" ref="A8:H17" totalsRowShown="0">
  <tableColumns count="8">
    <tableColumn id="1" xr3:uid="{152D616F-3034-4B97-8217-D61B452CA7AD}" name="ID"/>
    <tableColumn id="2" xr3:uid="{059F563F-9AFA-47EF-A381-041DC8B24643}" name="Test Case Description"/>
    <tableColumn id="3" xr3:uid="{FC50E32D-ABEE-45D7-944A-28525DCAAF91}" name="Test Case Procedure"/>
    <tableColumn id="4" xr3:uid="{2BD01026-2B6D-4C9C-B1FD-671726862DA3}" name="Expected Output"/>
    <tableColumn id="5" xr3:uid="{731CB900-9481-440C-856B-FF1CA69704E8}" name="Inter-test case Dependence"/>
    <tableColumn id="6" xr3:uid="{93D1E913-47BE-418A-BA4E-486FC42D1A85}" name="Result"/>
    <tableColumn id="7" xr3:uid="{4543BB57-9A9E-4E46-AD7C-EDFA66C9D559}" name="Test date"/>
    <tableColumn id="8" xr3:uid="{71EBD80C-B55B-403B-9D68-F2D0C8CA453D}" name="Not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D30C2-D2C5-4AF5-9D06-03FDA7B3082E}">
  <dimension ref="A1:Z90"/>
  <sheetViews>
    <sheetView zoomScaleNormal="100" workbookViewId="0">
      <pane ySplit="1" topLeftCell="A2" activePane="bottomLeft" state="frozen"/>
      <selection pane="bottomLeft" activeCell="F2" sqref="F2:F6"/>
    </sheetView>
  </sheetViews>
  <sheetFormatPr defaultColWidth="14.44140625" defaultRowHeight="14.4" x14ac:dyDescent="0.3"/>
  <cols>
    <col min="1" max="3" width="30" style="7" customWidth="1"/>
    <col min="4" max="4" width="70" style="7" customWidth="1"/>
    <col min="5" max="5" width="14" style="7" customWidth="1"/>
    <col min="6" max="6" width="50" style="7" customWidth="1"/>
    <col min="7" max="26" width="9.109375" style="7" customWidth="1"/>
    <col min="27" max="16384" width="14.44140625" style="7"/>
  </cols>
  <sheetData>
    <row r="1" spans="1:26" ht="25.5" customHeight="1" x14ac:dyDescent="0.3">
      <c r="A1" s="28" t="s">
        <v>132</v>
      </c>
      <c r="B1" s="28" t="s">
        <v>133</v>
      </c>
      <c r="C1" s="28" t="s">
        <v>134</v>
      </c>
      <c r="D1" s="28" t="s">
        <v>135</v>
      </c>
      <c r="E1" s="28" t="s">
        <v>136</v>
      </c>
      <c r="F1" s="28" t="s">
        <v>17</v>
      </c>
      <c r="G1" s="29"/>
      <c r="H1" s="29"/>
      <c r="I1" s="29"/>
      <c r="J1" s="29"/>
      <c r="K1" s="29"/>
      <c r="L1" s="29"/>
      <c r="M1" s="29"/>
      <c r="N1" s="29"/>
      <c r="O1" s="29"/>
      <c r="P1" s="29"/>
      <c r="Q1" s="29"/>
      <c r="R1" s="29"/>
      <c r="S1" s="29"/>
      <c r="T1" s="29"/>
      <c r="U1" s="29"/>
      <c r="V1" s="29"/>
      <c r="W1" s="29"/>
      <c r="X1" s="29"/>
      <c r="Y1" s="29"/>
      <c r="Z1" s="29"/>
    </row>
    <row r="2" spans="1:26" ht="31.5" customHeight="1" x14ac:dyDescent="0.3">
      <c r="A2" s="32" t="s">
        <v>137</v>
      </c>
      <c r="B2" s="32" t="s">
        <v>138</v>
      </c>
      <c r="C2" s="32" t="s">
        <v>139</v>
      </c>
      <c r="D2" s="30" t="s">
        <v>19</v>
      </c>
      <c r="E2" s="31" t="s">
        <v>140</v>
      </c>
      <c r="F2" s="30"/>
    </row>
    <row r="3" spans="1:26" ht="18.75" customHeight="1" x14ac:dyDescent="0.3">
      <c r="A3" s="32"/>
      <c r="B3" s="32"/>
      <c r="C3" s="32"/>
      <c r="D3" s="30" t="s">
        <v>24</v>
      </c>
      <c r="E3" s="31" t="s">
        <v>140</v>
      </c>
      <c r="F3" s="30"/>
    </row>
    <row r="4" spans="1:26" ht="18.75" customHeight="1" x14ac:dyDescent="0.3">
      <c r="A4" s="32"/>
      <c r="B4" s="32"/>
      <c r="C4" s="32"/>
      <c r="D4" s="30" t="s">
        <v>28</v>
      </c>
      <c r="E4" s="31" t="s">
        <v>140</v>
      </c>
      <c r="F4" s="30"/>
    </row>
    <row r="5" spans="1:26" ht="31.5" customHeight="1" x14ac:dyDescent="0.3">
      <c r="A5" s="32"/>
      <c r="B5" s="32"/>
      <c r="C5" s="32"/>
      <c r="D5" s="30" t="s">
        <v>32</v>
      </c>
      <c r="E5" s="31" t="s">
        <v>140</v>
      </c>
      <c r="F5" s="30"/>
    </row>
    <row r="6" spans="1:26" ht="18.75" customHeight="1" x14ac:dyDescent="0.3">
      <c r="A6" s="32"/>
      <c r="B6" s="32"/>
      <c r="C6" s="32"/>
      <c r="D6" s="30" t="s">
        <v>35</v>
      </c>
      <c r="E6" s="31" t="s">
        <v>140</v>
      </c>
      <c r="F6" s="30"/>
    </row>
    <row r="7" spans="1:26" ht="18.75" customHeight="1" x14ac:dyDescent="0.3">
      <c r="A7" s="32"/>
      <c r="B7" s="32"/>
      <c r="C7" s="32" t="s">
        <v>141</v>
      </c>
      <c r="D7" s="30" t="s">
        <v>38</v>
      </c>
      <c r="E7" s="31" t="s">
        <v>142</v>
      </c>
      <c r="F7" s="30"/>
    </row>
    <row r="8" spans="1:26" ht="18.75" customHeight="1" x14ac:dyDescent="0.3">
      <c r="A8" s="32"/>
      <c r="B8" s="32"/>
      <c r="C8" s="32"/>
      <c r="D8" s="30" t="s">
        <v>42</v>
      </c>
      <c r="E8" s="31" t="s">
        <v>142</v>
      </c>
      <c r="F8" s="30"/>
    </row>
    <row r="9" spans="1:26" ht="31.5" customHeight="1" x14ac:dyDescent="0.3">
      <c r="A9" s="32"/>
      <c r="B9" s="32"/>
      <c r="C9" s="32"/>
      <c r="D9" s="30" t="s">
        <v>46</v>
      </c>
      <c r="E9" s="31" t="s">
        <v>140</v>
      </c>
      <c r="F9" s="30"/>
    </row>
    <row r="10" spans="1:26" ht="18.75" customHeight="1" x14ac:dyDescent="0.3">
      <c r="A10" s="32"/>
      <c r="B10" s="32"/>
      <c r="C10" s="32"/>
      <c r="D10" s="30" t="s">
        <v>50</v>
      </c>
      <c r="E10" s="31" t="s">
        <v>142</v>
      </c>
      <c r="F10" s="30"/>
    </row>
    <row r="11" spans="1:26" ht="31.5" customHeight="1" x14ac:dyDescent="0.3">
      <c r="A11" s="32"/>
      <c r="B11" s="32"/>
      <c r="C11" s="32"/>
      <c r="D11" s="30" t="s">
        <v>54</v>
      </c>
      <c r="E11" s="31" t="s">
        <v>142</v>
      </c>
      <c r="F11" s="30"/>
    </row>
    <row r="12" spans="1:26" ht="31.5" customHeight="1" x14ac:dyDescent="0.3">
      <c r="A12" s="32"/>
      <c r="B12" s="32"/>
      <c r="C12" s="32"/>
      <c r="D12" s="30" t="s">
        <v>58</v>
      </c>
      <c r="E12" s="31" t="s">
        <v>140</v>
      </c>
      <c r="F12" s="30"/>
    </row>
    <row r="13" spans="1:26" ht="18.75" customHeight="1" x14ac:dyDescent="0.3">
      <c r="A13" s="32"/>
      <c r="B13" s="32"/>
      <c r="C13" s="32"/>
      <c r="D13" s="30" t="s">
        <v>62</v>
      </c>
      <c r="E13" s="31" t="s">
        <v>140</v>
      </c>
      <c r="F13" s="30"/>
    </row>
    <row r="14" spans="1:26" ht="18.75" customHeight="1" x14ac:dyDescent="0.3">
      <c r="A14" s="32"/>
      <c r="B14" s="32"/>
      <c r="C14" s="32"/>
      <c r="D14" s="30" t="s">
        <v>66</v>
      </c>
      <c r="E14" s="31" t="s">
        <v>140</v>
      </c>
      <c r="F14" s="30"/>
    </row>
    <row r="15" spans="1:26" ht="31.5" customHeight="1" x14ac:dyDescent="0.3">
      <c r="A15" s="32"/>
      <c r="B15" s="32"/>
      <c r="C15" s="32" t="s">
        <v>143</v>
      </c>
      <c r="D15" s="30" t="s">
        <v>70</v>
      </c>
      <c r="E15" s="31" t="s">
        <v>140</v>
      </c>
      <c r="F15" s="30"/>
    </row>
    <row r="16" spans="1:26" ht="18.75" customHeight="1" x14ac:dyDescent="0.3">
      <c r="A16" s="32"/>
      <c r="B16" s="32"/>
      <c r="C16" s="32"/>
      <c r="D16" s="30" t="s">
        <v>73</v>
      </c>
      <c r="E16" s="31" t="s">
        <v>140</v>
      </c>
      <c r="F16" s="30"/>
    </row>
    <row r="17" spans="1:6" ht="31.5" customHeight="1" x14ac:dyDescent="0.3">
      <c r="A17" s="32"/>
      <c r="B17" s="32"/>
      <c r="C17" s="32"/>
      <c r="D17" s="30" t="s">
        <v>77</v>
      </c>
      <c r="E17" s="31" t="s">
        <v>140</v>
      </c>
      <c r="F17" s="30"/>
    </row>
    <row r="18" spans="1:6" ht="31.5" customHeight="1" x14ac:dyDescent="0.3">
      <c r="A18" s="32"/>
      <c r="B18" s="32"/>
      <c r="C18" s="32"/>
      <c r="D18" s="30" t="s">
        <v>81</v>
      </c>
      <c r="E18" s="31" t="s">
        <v>140</v>
      </c>
      <c r="F18" s="30"/>
    </row>
    <row r="19" spans="1:6" ht="31.5" customHeight="1" x14ac:dyDescent="0.3">
      <c r="A19" s="32"/>
      <c r="B19" s="32"/>
      <c r="C19" s="32"/>
      <c r="D19" s="30" t="s">
        <v>85</v>
      </c>
      <c r="E19" s="31" t="s">
        <v>140</v>
      </c>
      <c r="F19" s="30"/>
    </row>
    <row r="20" spans="1:6" ht="18.75" customHeight="1" x14ac:dyDescent="0.3">
      <c r="A20" s="32"/>
      <c r="B20" s="32"/>
      <c r="C20" s="32"/>
      <c r="D20" s="30" t="s">
        <v>89</v>
      </c>
      <c r="E20" s="31" t="s">
        <v>140</v>
      </c>
      <c r="F20" s="30"/>
    </row>
    <row r="21" spans="1:6" ht="18.75" customHeight="1" x14ac:dyDescent="0.3">
      <c r="A21" s="32"/>
      <c r="B21" s="32"/>
      <c r="C21" s="32"/>
      <c r="D21" s="30" t="s">
        <v>93</v>
      </c>
      <c r="E21" s="31" t="s">
        <v>140</v>
      </c>
      <c r="F21" s="30"/>
    </row>
    <row r="22" spans="1:6" ht="18.75" customHeight="1" x14ac:dyDescent="0.3">
      <c r="A22" s="32"/>
      <c r="B22" s="32"/>
      <c r="C22" s="32"/>
      <c r="D22" s="30" t="s">
        <v>97</v>
      </c>
      <c r="E22" s="31" t="s">
        <v>140</v>
      </c>
      <c r="F22" s="30"/>
    </row>
    <row r="23" spans="1:6" ht="31.5" customHeight="1" x14ac:dyDescent="0.3">
      <c r="A23" s="32"/>
      <c r="B23" s="32"/>
      <c r="C23" s="32"/>
      <c r="D23" s="30" t="s">
        <v>101</v>
      </c>
      <c r="E23" s="31" t="s">
        <v>140</v>
      </c>
      <c r="F23" s="30"/>
    </row>
    <row r="24" spans="1:6" ht="31.5" customHeight="1" x14ac:dyDescent="0.3">
      <c r="A24" s="32"/>
      <c r="B24" s="32"/>
      <c r="C24" s="32" t="s">
        <v>144</v>
      </c>
      <c r="D24" s="30" t="s">
        <v>105</v>
      </c>
      <c r="E24" s="31" t="s">
        <v>140</v>
      </c>
      <c r="F24" s="30"/>
    </row>
    <row r="25" spans="1:6" ht="31.5" customHeight="1" x14ac:dyDescent="0.3">
      <c r="A25" s="32"/>
      <c r="B25" s="32"/>
      <c r="C25" s="32"/>
      <c r="D25" s="30" t="s">
        <v>109</v>
      </c>
      <c r="E25" s="31" t="s">
        <v>140</v>
      </c>
      <c r="F25" s="30"/>
    </row>
    <row r="26" spans="1:6" ht="31.5" customHeight="1" x14ac:dyDescent="0.3">
      <c r="A26" s="32"/>
      <c r="B26" s="32"/>
      <c r="C26" s="32"/>
      <c r="D26" s="30" t="s">
        <v>113</v>
      </c>
      <c r="E26" s="31" t="s">
        <v>140</v>
      </c>
      <c r="F26" s="30"/>
    </row>
    <row r="27" spans="1:6" ht="18.75" customHeight="1" x14ac:dyDescent="0.3">
      <c r="A27" s="32"/>
      <c r="B27" s="32"/>
      <c r="C27" s="32"/>
      <c r="D27" s="30" t="s">
        <v>117</v>
      </c>
      <c r="E27" s="31" t="s">
        <v>140</v>
      </c>
      <c r="F27" s="30"/>
    </row>
    <row r="28" spans="1:6" ht="18.75" customHeight="1" x14ac:dyDescent="0.3">
      <c r="A28" s="32"/>
      <c r="B28" s="32"/>
      <c r="C28" s="32"/>
      <c r="D28" s="30" t="s">
        <v>121</v>
      </c>
      <c r="E28" s="31" t="s">
        <v>140</v>
      </c>
      <c r="F28" s="30"/>
    </row>
    <row r="29" spans="1:6" ht="18.75" customHeight="1" x14ac:dyDescent="0.3">
      <c r="A29" s="32"/>
      <c r="B29" s="32"/>
      <c r="C29" s="32" t="s">
        <v>145</v>
      </c>
      <c r="D29" s="30" t="s">
        <v>125</v>
      </c>
      <c r="E29" s="31" t="s">
        <v>140</v>
      </c>
      <c r="F29" s="30"/>
    </row>
    <row r="30" spans="1:6" ht="18.75" customHeight="1" x14ac:dyDescent="0.3">
      <c r="A30" s="32"/>
      <c r="B30" s="32"/>
      <c r="C30" s="32"/>
      <c r="D30" s="30" t="s">
        <v>129</v>
      </c>
      <c r="E30" s="31" t="s">
        <v>140</v>
      </c>
      <c r="F30" s="30"/>
    </row>
    <row r="31" spans="1:6" ht="31.5" customHeight="1" x14ac:dyDescent="0.3">
      <c r="A31" s="32" t="s">
        <v>146</v>
      </c>
      <c r="B31" s="32" t="s">
        <v>147</v>
      </c>
      <c r="C31" s="32" t="s">
        <v>148</v>
      </c>
      <c r="D31" s="30" t="s">
        <v>149</v>
      </c>
      <c r="E31" s="31" t="s">
        <v>140</v>
      </c>
      <c r="F31" s="30"/>
    </row>
    <row r="32" spans="1:6" ht="18.75" customHeight="1" x14ac:dyDescent="0.3">
      <c r="A32" s="32"/>
      <c r="B32" s="32"/>
      <c r="C32" s="32"/>
      <c r="D32" s="30" t="s">
        <v>150</v>
      </c>
      <c r="E32" s="31" t="s">
        <v>140</v>
      </c>
      <c r="F32" s="30"/>
    </row>
    <row r="33" spans="1:6" ht="31.5" customHeight="1" x14ac:dyDescent="0.3">
      <c r="A33" s="32"/>
      <c r="B33" s="32"/>
      <c r="C33" s="32"/>
      <c r="D33" s="30" t="s">
        <v>151</v>
      </c>
      <c r="E33" s="31" t="s">
        <v>140</v>
      </c>
      <c r="F33" s="30"/>
    </row>
    <row r="34" spans="1:6" ht="31.5" customHeight="1" x14ac:dyDescent="0.3">
      <c r="A34" s="32"/>
      <c r="B34" s="32"/>
      <c r="C34" s="32"/>
      <c r="D34" s="30" t="s">
        <v>152</v>
      </c>
      <c r="E34" s="31" t="s">
        <v>140</v>
      </c>
      <c r="F34" s="30"/>
    </row>
    <row r="35" spans="1:6" ht="31.5" customHeight="1" x14ac:dyDescent="0.3">
      <c r="A35" s="32"/>
      <c r="B35" s="32"/>
      <c r="C35" s="32" t="s">
        <v>153</v>
      </c>
      <c r="D35" s="30" t="s">
        <v>154</v>
      </c>
      <c r="E35" s="31" t="s">
        <v>140</v>
      </c>
      <c r="F35" s="30"/>
    </row>
    <row r="36" spans="1:6" ht="18.75" customHeight="1" x14ac:dyDescent="0.3">
      <c r="A36" s="32"/>
      <c r="B36" s="32"/>
      <c r="C36" s="32"/>
      <c r="D36" s="30" t="s">
        <v>155</v>
      </c>
      <c r="E36" s="31" t="s">
        <v>142</v>
      </c>
      <c r="F36" s="30"/>
    </row>
    <row r="37" spans="1:6" ht="31.5" customHeight="1" x14ac:dyDescent="0.3">
      <c r="A37" s="32"/>
      <c r="B37" s="32"/>
      <c r="C37" s="32"/>
      <c r="D37" s="30" t="s">
        <v>156</v>
      </c>
      <c r="E37" s="31" t="s">
        <v>140</v>
      </c>
      <c r="F37" s="30"/>
    </row>
    <row r="38" spans="1:6" ht="18.75" customHeight="1" x14ac:dyDescent="0.3">
      <c r="A38" s="32"/>
      <c r="B38" s="32"/>
      <c r="C38" s="32"/>
      <c r="D38" s="30" t="s">
        <v>157</v>
      </c>
      <c r="E38" s="31" t="s">
        <v>140</v>
      </c>
      <c r="F38" s="30"/>
    </row>
    <row r="39" spans="1:6" ht="31.5" customHeight="1" x14ac:dyDescent="0.3">
      <c r="A39" s="32"/>
      <c r="B39" s="32"/>
      <c r="C39" s="32"/>
      <c r="D39" s="30" t="s">
        <v>158</v>
      </c>
      <c r="E39" s="31" t="s">
        <v>140</v>
      </c>
      <c r="F39" s="30"/>
    </row>
    <row r="40" spans="1:6" ht="18.75" customHeight="1" x14ac:dyDescent="0.3">
      <c r="A40" s="32"/>
      <c r="B40" s="32"/>
      <c r="C40" s="32" t="s">
        <v>159</v>
      </c>
      <c r="D40" s="30" t="s">
        <v>160</v>
      </c>
      <c r="E40" s="31" t="s">
        <v>140</v>
      </c>
      <c r="F40" s="30"/>
    </row>
    <row r="41" spans="1:6" ht="31.5" customHeight="1" x14ac:dyDescent="0.3">
      <c r="A41" s="32"/>
      <c r="B41" s="32"/>
      <c r="C41" s="32"/>
      <c r="D41" s="30" t="s">
        <v>161</v>
      </c>
      <c r="E41" s="31" t="s">
        <v>140</v>
      </c>
      <c r="F41" s="30"/>
    </row>
    <row r="42" spans="1:6" ht="31.5" customHeight="1" x14ac:dyDescent="0.3">
      <c r="A42" s="32"/>
      <c r="B42" s="32"/>
      <c r="C42" s="32"/>
      <c r="D42" s="30" t="s">
        <v>162</v>
      </c>
      <c r="E42" s="31" t="s">
        <v>140</v>
      </c>
      <c r="F42" s="30"/>
    </row>
    <row r="43" spans="1:6" ht="18.75" customHeight="1" x14ac:dyDescent="0.3">
      <c r="A43" s="32"/>
      <c r="B43" s="32"/>
      <c r="C43" s="32"/>
      <c r="D43" s="30" t="s">
        <v>163</v>
      </c>
      <c r="E43" s="31" t="s">
        <v>140</v>
      </c>
      <c r="F43" s="30"/>
    </row>
    <row r="44" spans="1:6" ht="31.5" customHeight="1" x14ac:dyDescent="0.3">
      <c r="A44" s="32"/>
      <c r="B44" s="32"/>
      <c r="C44" s="32" t="s">
        <v>164</v>
      </c>
      <c r="D44" s="30" t="s">
        <v>165</v>
      </c>
      <c r="E44" s="31" t="s">
        <v>140</v>
      </c>
      <c r="F44" s="30"/>
    </row>
    <row r="45" spans="1:6" ht="18.75" customHeight="1" x14ac:dyDescent="0.3">
      <c r="A45" s="32"/>
      <c r="B45" s="32"/>
      <c r="C45" s="32"/>
      <c r="D45" s="30" t="s">
        <v>166</v>
      </c>
      <c r="E45" s="31" t="s">
        <v>140</v>
      </c>
      <c r="F45" s="30"/>
    </row>
    <row r="46" spans="1:6" ht="31.5" customHeight="1" x14ac:dyDescent="0.3">
      <c r="A46" s="32"/>
      <c r="B46" s="32"/>
      <c r="C46" s="32"/>
      <c r="D46" s="30" t="s">
        <v>167</v>
      </c>
      <c r="E46" s="31" t="s">
        <v>140</v>
      </c>
      <c r="F46" s="30"/>
    </row>
    <row r="47" spans="1:6" ht="31.5" customHeight="1" x14ac:dyDescent="0.3">
      <c r="A47" s="32"/>
      <c r="B47" s="32"/>
      <c r="C47" s="32"/>
      <c r="D47" s="30" t="s">
        <v>168</v>
      </c>
      <c r="E47" s="31" t="s">
        <v>140</v>
      </c>
      <c r="F47" s="30"/>
    </row>
    <row r="48" spans="1:6" ht="31.5" customHeight="1" x14ac:dyDescent="0.3">
      <c r="A48" s="32"/>
      <c r="B48" s="32"/>
      <c r="C48" s="32"/>
      <c r="D48" s="30" t="s">
        <v>169</v>
      </c>
      <c r="E48" s="31" t="s">
        <v>140</v>
      </c>
      <c r="F48" s="30"/>
    </row>
    <row r="49" spans="1:6" ht="31.5" customHeight="1" x14ac:dyDescent="0.3">
      <c r="A49" s="32"/>
      <c r="B49" s="32"/>
      <c r="C49" s="32"/>
      <c r="D49" s="30" t="s">
        <v>170</v>
      </c>
      <c r="E49" s="31" t="s">
        <v>140</v>
      </c>
      <c r="F49" s="30"/>
    </row>
    <row r="50" spans="1:6" ht="31.5" customHeight="1" x14ac:dyDescent="0.3">
      <c r="A50" s="32"/>
      <c r="B50" s="32"/>
      <c r="C50" s="32"/>
      <c r="D50" s="30" t="s">
        <v>171</v>
      </c>
      <c r="E50" s="31" t="s">
        <v>140</v>
      </c>
      <c r="F50" s="30"/>
    </row>
    <row r="51" spans="1:6" ht="18.75" customHeight="1" x14ac:dyDescent="0.3">
      <c r="A51" s="32"/>
      <c r="B51" s="32"/>
      <c r="C51" s="32" t="s">
        <v>172</v>
      </c>
      <c r="D51" s="30" t="s">
        <v>173</v>
      </c>
      <c r="E51" s="31" t="s">
        <v>140</v>
      </c>
      <c r="F51" s="30"/>
    </row>
    <row r="52" spans="1:6" ht="31.5" customHeight="1" x14ac:dyDescent="0.3">
      <c r="A52" s="32"/>
      <c r="B52" s="32"/>
      <c r="C52" s="32"/>
      <c r="D52" s="30" t="s">
        <v>174</v>
      </c>
      <c r="E52" s="31" t="s">
        <v>140</v>
      </c>
      <c r="F52" s="30"/>
    </row>
    <row r="53" spans="1:6" ht="18.75" customHeight="1" x14ac:dyDescent="0.3">
      <c r="A53" s="32"/>
      <c r="B53" s="32"/>
      <c r="C53" s="32"/>
      <c r="D53" s="30" t="s">
        <v>175</v>
      </c>
      <c r="E53" s="31" t="s">
        <v>140</v>
      </c>
      <c r="F53" s="30"/>
    </row>
    <row r="54" spans="1:6" ht="18.75" customHeight="1" x14ac:dyDescent="0.3">
      <c r="A54" s="32"/>
      <c r="B54" s="32"/>
      <c r="C54" s="32"/>
      <c r="D54" s="30" t="s">
        <v>176</v>
      </c>
      <c r="E54" s="31" t="s">
        <v>140</v>
      </c>
      <c r="F54" s="30"/>
    </row>
    <row r="55" spans="1:6" ht="18.75" customHeight="1" x14ac:dyDescent="0.3">
      <c r="A55" s="32"/>
      <c r="B55" s="32"/>
      <c r="C55" s="32"/>
      <c r="D55" s="30" t="s">
        <v>177</v>
      </c>
      <c r="E55" s="31" t="s">
        <v>140</v>
      </c>
      <c r="F55" s="30"/>
    </row>
    <row r="56" spans="1:6" ht="18.75" customHeight="1" x14ac:dyDescent="0.3">
      <c r="A56" s="32"/>
      <c r="B56" s="32"/>
      <c r="C56" s="32" t="s">
        <v>178</v>
      </c>
      <c r="D56" s="30" t="s">
        <v>179</v>
      </c>
      <c r="E56" s="31" t="s">
        <v>140</v>
      </c>
      <c r="F56" s="30"/>
    </row>
    <row r="57" spans="1:6" ht="18.75" customHeight="1" x14ac:dyDescent="0.3">
      <c r="A57" s="32"/>
      <c r="B57" s="32"/>
      <c r="C57" s="32"/>
      <c r="D57" s="30" t="s">
        <v>180</v>
      </c>
      <c r="E57" s="31" t="s">
        <v>140</v>
      </c>
      <c r="F57" s="30"/>
    </row>
    <row r="58" spans="1:6" ht="18.75" customHeight="1" x14ac:dyDescent="0.3">
      <c r="A58" s="32"/>
      <c r="B58" s="32"/>
      <c r="C58" s="32"/>
      <c r="D58" s="30" t="s">
        <v>181</v>
      </c>
      <c r="E58" s="31" t="s">
        <v>140</v>
      </c>
      <c r="F58" s="30"/>
    </row>
    <row r="59" spans="1:6" ht="18.75" customHeight="1" x14ac:dyDescent="0.3">
      <c r="A59" s="32"/>
      <c r="B59" s="32"/>
      <c r="C59" s="32"/>
      <c r="D59" s="30" t="s">
        <v>182</v>
      </c>
      <c r="E59" s="31" t="s">
        <v>140</v>
      </c>
      <c r="F59" s="30"/>
    </row>
    <row r="60" spans="1:6" ht="18.75" customHeight="1" x14ac:dyDescent="0.3">
      <c r="A60" s="32"/>
      <c r="B60" s="32"/>
      <c r="C60" s="32"/>
      <c r="D60" s="30" t="s">
        <v>183</v>
      </c>
      <c r="E60" s="31" t="s">
        <v>140</v>
      </c>
      <c r="F60" s="30"/>
    </row>
    <row r="61" spans="1:6" ht="18.75" customHeight="1" x14ac:dyDescent="0.3">
      <c r="A61" s="32"/>
      <c r="B61" s="32" t="s">
        <v>184</v>
      </c>
      <c r="C61" s="32" t="s">
        <v>185</v>
      </c>
      <c r="D61" s="30" t="s">
        <v>186</v>
      </c>
      <c r="E61" s="31" t="s">
        <v>142</v>
      </c>
      <c r="F61" s="30"/>
    </row>
    <row r="62" spans="1:6" ht="31.5" customHeight="1" x14ac:dyDescent="0.3">
      <c r="A62" s="32"/>
      <c r="B62" s="32"/>
      <c r="C62" s="32"/>
      <c r="D62" s="30" t="s">
        <v>187</v>
      </c>
      <c r="E62" s="31" t="s">
        <v>140</v>
      </c>
      <c r="F62" s="30"/>
    </row>
    <row r="63" spans="1:6" ht="18.75" customHeight="1" x14ac:dyDescent="0.3">
      <c r="A63" s="32"/>
      <c r="B63" s="32"/>
      <c r="C63" s="32"/>
      <c r="D63" s="30" t="s">
        <v>188</v>
      </c>
      <c r="E63" s="31" t="s">
        <v>142</v>
      </c>
      <c r="F63" s="30"/>
    </row>
    <row r="64" spans="1:6" ht="18.75" customHeight="1" x14ac:dyDescent="0.3">
      <c r="A64" s="32"/>
      <c r="B64" s="32"/>
      <c r="C64" s="32"/>
      <c r="D64" s="30" t="s">
        <v>189</v>
      </c>
      <c r="E64" s="31" t="s">
        <v>142</v>
      </c>
      <c r="F64" s="30"/>
    </row>
    <row r="65" spans="1:6" ht="31.5" customHeight="1" x14ac:dyDescent="0.3">
      <c r="A65" s="32"/>
      <c r="B65" s="32"/>
      <c r="C65" s="32"/>
      <c r="D65" s="30" t="s">
        <v>190</v>
      </c>
      <c r="E65" s="31" t="s">
        <v>140</v>
      </c>
      <c r="F65" s="30"/>
    </row>
    <row r="66" spans="1:6" ht="31.5" customHeight="1" x14ac:dyDescent="0.3">
      <c r="A66" s="32"/>
      <c r="B66" s="32"/>
      <c r="C66" s="32" t="s">
        <v>191</v>
      </c>
      <c r="D66" s="30" t="s">
        <v>192</v>
      </c>
      <c r="E66" s="31" t="s">
        <v>140</v>
      </c>
      <c r="F66" s="30"/>
    </row>
    <row r="67" spans="1:6" ht="31.5" customHeight="1" x14ac:dyDescent="0.3">
      <c r="A67" s="32"/>
      <c r="B67" s="32"/>
      <c r="C67" s="32"/>
      <c r="D67" s="30" t="s">
        <v>193</v>
      </c>
      <c r="E67" s="31" t="s">
        <v>140</v>
      </c>
      <c r="F67" s="30"/>
    </row>
    <row r="68" spans="1:6" ht="31.5" customHeight="1" x14ac:dyDescent="0.3">
      <c r="A68" s="32"/>
      <c r="B68" s="32"/>
      <c r="C68" s="32"/>
      <c r="D68" s="30" t="s">
        <v>194</v>
      </c>
      <c r="E68" s="31" t="s">
        <v>140</v>
      </c>
      <c r="F68" s="30"/>
    </row>
    <row r="69" spans="1:6" ht="31.5" customHeight="1" x14ac:dyDescent="0.3">
      <c r="A69" s="32"/>
      <c r="B69" s="32"/>
      <c r="C69" s="32"/>
      <c r="D69" s="30" t="s">
        <v>195</v>
      </c>
      <c r="E69" s="31" t="s">
        <v>140</v>
      </c>
      <c r="F69" s="30"/>
    </row>
    <row r="70" spans="1:6" ht="18.75" customHeight="1" x14ac:dyDescent="0.3">
      <c r="A70" s="32"/>
      <c r="B70" s="32"/>
      <c r="C70" s="32" t="s">
        <v>196</v>
      </c>
      <c r="D70" s="30" t="s">
        <v>197</v>
      </c>
      <c r="E70" s="31" t="s">
        <v>140</v>
      </c>
      <c r="F70" s="30"/>
    </row>
    <row r="71" spans="1:6" ht="18.75" customHeight="1" x14ac:dyDescent="0.3">
      <c r="A71" s="32"/>
      <c r="B71" s="32"/>
      <c r="C71" s="32"/>
      <c r="D71" s="30" t="s">
        <v>198</v>
      </c>
      <c r="E71" s="31" t="s">
        <v>140</v>
      </c>
      <c r="F71" s="30"/>
    </row>
    <row r="72" spans="1:6" ht="18.75" customHeight="1" x14ac:dyDescent="0.3">
      <c r="A72" s="32"/>
      <c r="B72" s="32"/>
      <c r="C72" s="32"/>
      <c r="D72" s="30" t="s">
        <v>199</v>
      </c>
      <c r="E72" s="31" t="s">
        <v>140</v>
      </c>
      <c r="F72" s="30"/>
    </row>
    <row r="73" spans="1:6" ht="31.5" customHeight="1" x14ac:dyDescent="0.3">
      <c r="A73" s="32"/>
      <c r="B73" s="32"/>
      <c r="C73" s="32"/>
      <c r="D73" s="30" t="s">
        <v>200</v>
      </c>
      <c r="E73" s="31" t="s">
        <v>140</v>
      </c>
      <c r="F73" s="30"/>
    </row>
    <row r="74" spans="1:6" ht="31.5" customHeight="1" x14ac:dyDescent="0.3">
      <c r="A74" s="32"/>
      <c r="B74" s="32"/>
      <c r="C74" s="32"/>
      <c r="D74" s="30" t="s">
        <v>201</v>
      </c>
      <c r="E74" s="31" t="s">
        <v>140</v>
      </c>
      <c r="F74" s="30"/>
    </row>
    <row r="75" spans="1:6" ht="31.5" customHeight="1" x14ac:dyDescent="0.3">
      <c r="A75" s="32"/>
      <c r="B75" s="32"/>
      <c r="C75" s="32"/>
      <c r="D75" s="30" t="s">
        <v>202</v>
      </c>
      <c r="E75" s="31" t="s">
        <v>140</v>
      </c>
      <c r="F75" s="30"/>
    </row>
    <row r="76" spans="1:6" ht="18.75" customHeight="1" x14ac:dyDescent="0.3">
      <c r="A76" s="32"/>
      <c r="B76" s="32"/>
      <c r="C76" s="32"/>
      <c r="D76" s="30" t="s">
        <v>203</v>
      </c>
      <c r="E76" s="31" t="s">
        <v>140</v>
      </c>
      <c r="F76" s="30"/>
    </row>
    <row r="77" spans="1:6" ht="31.5" customHeight="1" x14ac:dyDescent="0.3">
      <c r="A77" s="32"/>
      <c r="B77" s="32"/>
      <c r="C77" s="32"/>
      <c r="D77" s="30" t="s">
        <v>204</v>
      </c>
      <c r="E77" s="31" t="s">
        <v>140</v>
      </c>
      <c r="F77" s="30"/>
    </row>
    <row r="78" spans="1:6" ht="31.5" customHeight="1" x14ac:dyDescent="0.3">
      <c r="A78" s="32"/>
      <c r="B78" s="32"/>
      <c r="C78" s="32"/>
      <c r="D78" s="30" t="s">
        <v>205</v>
      </c>
      <c r="E78" s="31" t="s">
        <v>140</v>
      </c>
      <c r="F78" s="30"/>
    </row>
    <row r="79" spans="1:6" ht="18.75" customHeight="1" x14ac:dyDescent="0.3">
      <c r="A79" s="32"/>
      <c r="B79" s="32"/>
      <c r="C79" s="32"/>
      <c r="D79" s="30" t="s">
        <v>206</v>
      </c>
      <c r="E79" s="31" t="s">
        <v>140</v>
      </c>
      <c r="F79" s="30"/>
    </row>
    <row r="80" spans="1:6" ht="31.5" customHeight="1" x14ac:dyDescent="0.3">
      <c r="A80" s="32"/>
      <c r="B80" s="32"/>
      <c r="C80" s="32"/>
      <c r="D80" s="30" t="s">
        <v>207</v>
      </c>
      <c r="E80" s="31" t="s">
        <v>140</v>
      </c>
      <c r="F80" s="30"/>
    </row>
    <row r="81" spans="1:6" ht="31.5" customHeight="1" x14ac:dyDescent="0.3">
      <c r="A81" s="32"/>
      <c r="B81" s="32"/>
      <c r="C81" s="32"/>
      <c r="D81" s="30" t="s">
        <v>208</v>
      </c>
      <c r="E81" s="31" t="s">
        <v>140</v>
      </c>
      <c r="F81" s="30"/>
    </row>
    <row r="82" spans="1:6" ht="18.75" customHeight="1" x14ac:dyDescent="0.3">
      <c r="A82" s="32"/>
      <c r="B82" s="32"/>
      <c r="C82" s="32"/>
      <c r="D82" s="30" t="s">
        <v>209</v>
      </c>
      <c r="E82" s="31" t="s">
        <v>140</v>
      </c>
      <c r="F82" s="30"/>
    </row>
    <row r="83" spans="1:6" ht="18.75" customHeight="1" x14ac:dyDescent="0.3">
      <c r="A83" s="32"/>
      <c r="B83" s="32"/>
      <c r="C83" s="32"/>
      <c r="D83" s="30" t="s">
        <v>210</v>
      </c>
      <c r="E83" s="31" t="s">
        <v>140</v>
      </c>
      <c r="F83" s="30"/>
    </row>
    <row r="84" spans="1:6" ht="31.5" customHeight="1" x14ac:dyDescent="0.3">
      <c r="A84" s="32"/>
      <c r="B84" s="32"/>
      <c r="C84" s="32"/>
      <c r="D84" s="30" t="s">
        <v>211</v>
      </c>
      <c r="E84" s="31" t="s">
        <v>140</v>
      </c>
      <c r="F84" s="30"/>
    </row>
    <row r="85" spans="1:6" ht="31.5" customHeight="1" x14ac:dyDescent="0.3">
      <c r="A85" s="32"/>
      <c r="B85" s="32"/>
      <c r="C85" s="32"/>
      <c r="D85" s="30" t="s">
        <v>212</v>
      </c>
      <c r="E85" s="31" t="s">
        <v>140</v>
      </c>
      <c r="F85" s="30"/>
    </row>
    <row r="86" spans="1:6" ht="18.75" customHeight="1" x14ac:dyDescent="0.3">
      <c r="A86" s="32"/>
      <c r="B86" s="32"/>
      <c r="C86" s="32"/>
      <c r="D86" s="30" t="s">
        <v>213</v>
      </c>
      <c r="E86" s="31" t="s">
        <v>140</v>
      </c>
      <c r="F86" s="30"/>
    </row>
    <row r="87" spans="1:6" ht="18.75" customHeight="1" x14ac:dyDescent="0.3">
      <c r="A87" s="32"/>
      <c r="B87" s="32"/>
      <c r="C87" s="32"/>
      <c r="D87" s="30" t="s">
        <v>214</v>
      </c>
      <c r="E87" s="31" t="s">
        <v>142</v>
      </c>
      <c r="F87" s="30"/>
    </row>
    <row r="88" spans="1:6" ht="18.75" customHeight="1" x14ac:dyDescent="0.3">
      <c r="A88" s="32"/>
      <c r="B88" s="32"/>
      <c r="C88" s="32" t="s">
        <v>215</v>
      </c>
      <c r="D88" s="30" t="s">
        <v>216</v>
      </c>
      <c r="E88" s="31" t="s">
        <v>140</v>
      </c>
      <c r="F88" s="30"/>
    </row>
    <row r="89" spans="1:6" ht="31.5" customHeight="1" x14ac:dyDescent="0.3">
      <c r="A89" s="32"/>
      <c r="B89" s="32"/>
      <c r="C89" s="32"/>
      <c r="D89" s="30" t="s">
        <v>217</v>
      </c>
      <c r="E89" s="31" t="s">
        <v>140</v>
      </c>
      <c r="F89" s="30"/>
    </row>
    <row r="90" spans="1:6" ht="31.5" customHeight="1" x14ac:dyDescent="0.3">
      <c r="A90" s="32"/>
      <c r="B90" s="32"/>
      <c r="C90" s="32"/>
      <c r="D90" s="30" t="s">
        <v>218</v>
      </c>
      <c r="E90" s="31" t="s">
        <v>140</v>
      </c>
      <c r="F90" s="30"/>
    </row>
  </sheetData>
  <autoFilter ref="A1:F866" xr:uid="{00000000-0009-0000-0000-000002000000}"/>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7A4B1-460F-47E6-9435-C53AD7908682}">
  <dimension ref="A1:Z37"/>
  <sheetViews>
    <sheetView zoomScale="80" zoomScaleNormal="80" workbookViewId="0">
      <pane ySplit="8" topLeftCell="A9" activePane="bottomLeft" state="frozen"/>
      <selection pane="bottomLeft" activeCell="A31" sqref="A31"/>
    </sheetView>
  </sheetViews>
  <sheetFormatPr defaultColWidth="14.44140625" defaultRowHeight="14.4" x14ac:dyDescent="0.3"/>
  <cols>
    <col min="1" max="1" width="22" style="7" customWidth="1"/>
    <col min="2" max="2" width="36" style="7" customWidth="1"/>
    <col min="3" max="4" width="54" style="7" customWidth="1"/>
    <col min="5" max="5" width="24" style="7" customWidth="1"/>
    <col min="6" max="6" width="11" style="7" customWidth="1"/>
    <col min="7" max="7" width="12" style="7" customWidth="1"/>
    <col min="8" max="8" width="40" style="7" customWidth="1"/>
    <col min="9" max="9" width="9.44140625" style="7" customWidth="1"/>
    <col min="10" max="10" width="8.109375" style="7" hidden="1" customWidth="1"/>
    <col min="11" max="26" width="9.109375" style="7" customWidth="1"/>
    <col min="27" max="16384" width="14.44140625" style="7"/>
  </cols>
  <sheetData>
    <row r="1" spans="1:26" ht="13.5" customHeight="1" thickBot="1" x14ac:dyDescent="0.35">
      <c r="A1" s="1"/>
      <c r="B1" s="2"/>
      <c r="C1" s="2"/>
      <c r="D1" s="2"/>
      <c r="E1" s="2"/>
      <c r="F1" s="3"/>
      <c r="G1" s="4"/>
      <c r="H1" s="3"/>
      <c r="I1" s="5"/>
      <c r="J1" s="6"/>
      <c r="K1" s="6"/>
      <c r="L1" s="6"/>
      <c r="M1" s="6"/>
      <c r="N1" s="6"/>
      <c r="O1" s="6"/>
      <c r="P1" s="6"/>
      <c r="Q1" s="6"/>
      <c r="R1" s="6"/>
      <c r="S1" s="6"/>
      <c r="T1" s="6"/>
      <c r="U1" s="6"/>
      <c r="V1" s="6"/>
      <c r="W1" s="6"/>
      <c r="X1" s="6"/>
      <c r="Y1" s="6"/>
      <c r="Z1" s="6"/>
    </row>
    <row r="2" spans="1:26" ht="15" customHeight="1" x14ac:dyDescent="0.3">
      <c r="A2" s="8" t="s">
        <v>0</v>
      </c>
      <c r="B2" s="73" t="s">
        <v>219</v>
      </c>
      <c r="C2" s="73"/>
      <c r="D2" s="73"/>
      <c r="E2" s="73"/>
      <c r="F2" s="73"/>
      <c r="G2" s="73"/>
      <c r="H2" s="73"/>
      <c r="I2" s="5"/>
      <c r="J2" s="6" t="s">
        <v>1</v>
      </c>
      <c r="K2" s="6"/>
      <c r="L2" s="6"/>
      <c r="M2" s="6"/>
      <c r="N2" s="6"/>
      <c r="O2" s="6"/>
      <c r="P2" s="6"/>
      <c r="Q2" s="6"/>
      <c r="R2" s="6"/>
      <c r="S2" s="6"/>
      <c r="T2" s="6"/>
      <c r="U2" s="6"/>
      <c r="V2" s="6"/>
      <c r="W2" s="6"/>
      <c r="X2" s="6"/>
      <c r="Y2" s="6"/>
      <c r="Z2" s="6"/>
    </row>
    <row r="3" spans="1:26" ht="27.75" customHeight="1" x14ac:dyDescent="0.3">
      <c r="A3" s="9" t="s">
        <v>2</v>
      </c>
      <c r="B3" s="73" t="s">
        <v>219</v>
      </c>
      <c r="C3" s="73"/>
      <c r="D3" s="73"/>
      <c r="E3" s="73"/>
      <c r="F3" s="73"/>
      <c r="G3" s="73"/>
      <c r="H3" s="73"/>
      <c r="I3" s="5"/>
      <c r="J3" s="6" t="s">
        <v>3</v>
      </c>
      <c r="K3" s="6"/>
      <c r="L3" s="6"/>
      <c r="M3" s="6"/>
      <c r="N3" s="6"/>
      <c r="O3" s="6"/>
      <c r="P3" s="6"/>
      <c r="Q3" s="6"/>
      <c r="R3" s="6"/>
      <c r="S3" s="6"/>
      <c r="T3" s="6"/>
      <c r="U3" s="6"/>
      <c r="V3" s="6"/>
      <c r="W3" s="6"/>
      <c r="X3" s="6"/>
      <c r="Y3" s="6"/>
      <c r="Z3" s="6"/>
    </row>
    <row r="4" spans="1:26" ht="18" customHeight="1" x14ac:dyDescent="0.3">
      <c r="A4" s="8" t="s">
        <v>4</v>
      </c>
      <c r="B4" s="73" t="s">
        <v>5</v>
      </c>
      <c r="C4" s="73"/>
      <c r="D4" s="73"/>
      <c r="E4" s="73"/>
      <c r="F4" s="73"/>
      <c r="G4" s="73"/>
      <c r="H4" s="73"/>
      <c r="I4" s="5"/>
      <c r="J4" s="6" t="s">
        <v>6</v>
      </c>
      <c r="K4" s="6"/>
      <c r="L4" s="6"/>
      <c r="M4" s="6"/>
      <c r="N4" s="6"/>
      <c r="O4" s="6"/>
      <c r="P4" s="6"/>
      <c r="Q4" s="6"/>
      <c r="R4" s="6"/>
      <c r="S4" s="6"/>
      <c r="T4" s="6"/>
      <c r="U4" s="6"/>
      <c r="V4" s="6"/>
      <c r="W4" s="6"/>
      <c r="X4" s="6"/>
      <c r="Y4" s="6"/>
      <c r="Z4" s="6"/>
    </row>
    <row r="5" spans="1:26" ht="19.5" customHeight="1" x14ac:dyDescent="0.3">
      <c r="A5" s="10" t="s">
        <v>1</v>
      </c>
      <c r="B5" s="11" t="s">
        <v>3</v>
      </c>
      <c r="C5" s="11" t="s">
        <v>7</v>
      </c>
      <c r="D5" s="11" t="s">
        <v>6</v>
      </c>
      <c r="E5" s="12" t="s">
        <v>8</v>
      </c>
      <c r="F5" s="74" t="s">
        <v>9</v>
      </c>
      <c r="G5" s="74"/>
      <c r="H5" s="74"/>
      <c r="I5" s="13"/>
      <c r="J5" s="6" t="s">
        <v>7</v>
      </c>
      <c r="K5" s="6"/>
      <c r="L5" s="6"/>
      <c r="M5" s="6"/>
      <c r="N5" s="6"/>
      <c r="O5" s="6"/>
      <c r="P5" s="6"/>
      <c r="Q5" s="6"/>
      <c r="R5" s="6"/>
      <c r="S5" s="6"/>
      <c r="T5" s="6"/>
      <c r="U5" s="6"/>
      <c r="V5" s="6"/>
      <c r="W5" s="6"/>
      <c r="X5" s="6"/>
      <c r="Y5" s="6"/>
      <c r="Z5" s="6"/>
    </row>
    <row r="6" spans="1:26" ht="15" customHeight="1" thickBot="1" x14ac:dyDescent="0.35">
      <c r="A6" s="14">
        <f>COUNTIF(F9:F995,"Passed")</f>
        <v>24</v>
      </c>
      <c r="B6" s="15">
        <f>COUNTIF(F9:F995,"Failed")</f>
        <v>3</v>
      </c>
      <c r="C6" s="15">
        <f>F6-E6-D6-B6-A6</f>
        <v>0</v>
      </c>
      <c r="D6" s="15">
        <f>COUNTIF(F$9:F$995,"Blocked")</f>
        <v>0</v>
      </c>
      <c r="E6" s="16">
        <f>COUNTIF(F$9:F$995,"Skipped")</f>
        <v>2</v>
      </c>
      <c r="F6" s="75">
        <f>COUNTA(A9:A995)</f>
        <v>29</v>
      </c>
      <c r="G6" s="75"/>
      <c r="H6" s="75"/>
      <c r="I6" s="13"/>
      <c r="J6" s="6" t="s">
        <v>8</v>
      </c>
      <c r="K6" s="6"/>
      <c r="L6" s="6"/>
      <c r="M6" s="6"/>
      <c r="N6" s="6"/>
      <c r="O6" s="6"/>
      <c r="P6" s="6"/>
      <c r="Q6" s="6"/>
      <c r="R6" s="6"/>
      <c r="S6" s="6"/>
      <c r="T6" s="6"/>
      <c r="U6" s="6"/>
      <c r="V6" s="6"/>
      <c r="W6" s="6"/>
      <c r="X6" s="6"/>
      <c r="Y6" s="6"/>
      <c r="Z6" s="6"/>
    </row>
    <row r="7" spans="1:26" ht="15" customHeight="1" x14ac:dyDescent="0.3">
      <c r="A7" s="6"/>
      <c r="B7" s="6"/>
      <c r="C7" s="6"/>
      <c r="D7" s="17"/>
      <c r="E7" s="17"/>
      <c r="F7" s="18"/>
      <c r="G7" s="18"/>
      <c r="H7" s="18"/>
      <c r="I7" s="13"/>
      <c r="J7" s="6"/>
      <c r="K7" s="6"/>
      <c r="L7" s="6"/>
      <c r="M7" s="6"/>
      <c r="N7" s="6"/>
      <c r="O7" s="6"/>
      <c r="P7" s="6"/>
      <c r="Q7" s="6"/>
      <c r="R7" s="6"/>
      <c r="S7" s="6"/>
      <c r="T7" s="6"/>
      <c r="U7" s="6"/>
      <c r="V7" s="6"/>
      <c r="W7" s="6"/>
      <c r="X7" s="6"/>
      <c r="Y7" s="6"/>
      <c r="Z7" s="6"/>
    </row>
    <row r="8" spans="1:26" ht="25.5" customHeight="1" x14ac:dyDescent="0.3">
      <c r="A8" s="19" t="s">
        <v>10</v>
      </c>
      <c r="B8" s="20" t="s">
        <v>11</v>
      </c>
      <c r="C8" s="20" t="s">
        <v>12</v>
      </c>
      <c r="D8" s="20" t="s">
        <v>13</v>
      </c>
      <c r="E8" s="21" t="s">
        <v>14</v>
      </c>
      <c r="F8" s="21" t="s">
        <v>15</v>
      </c>
      <c r="G8" s="21" t="s">
        <v>16</v>
      </c>
      <c r="H8" s="22" t="s">
        <v>17</v>
      </c>
      <c r="I8" s="23"/>
      <c r="J8" s="6"/>
      <c r="K8" s="6"/>
      <c r="L8" s="6"/>
      <c r="M8" s="6"/>
      <c r="N8" s="6"/>
      <c r="O8" s="6"/>
      <c r="P8" s="6"/>
      <c r="Q8" s="6"/>
      <c r="R8" s="6"/>
      <c r="S8" s="6"/>
      <c r="T8" s="6"/>
      <c r="U8" s="6"/>
      <c r="V8" s="6"/>
      <c r="W8" s="6"/>
      <c r="X8" s="6"/>
      <c r="Y8" s="6"/>
      <c r="Z8" s="6"/>
    </row>
    <row r="9" spans="1:26" ht="109.5" customHeight="1" x14ac:dyDescent="0.3">
      <c r="A9" s="24" t="s">
        <v>18</v>
      </c>
      <c r="B9" s="25" t="s">
        <v>19</v>
      </c>
      <c r="C9" s="25" t="s">
        <v>20</v>
      </c>
      <c r="D9" s="25" t="s">
        <v>21</v>
      </c>
      <c r="E9" s="25" t="s">
        <v>22</v>
      </c>
      <c r="F9" s="26" t="s">
        <v>1</v>
      </c>
      <c r="G9" s="27" t="s">
        <v>220</v>
      </c>
      <c r="H9" s="25"/>
    </row>
    <row r="10" spans="1:26" ht="109.5" customHeight="1" x14ac:dyDescent="0.3">
      <c r="A10" s="24" t="s">
        <v>23</v>
      </c>
      <c r="B10" s="25" t="s">
        <v>24</v>
      </c>
      <c r="C10" s="25" t="s">
        <v>25</v>
      </c>
      <c r="D10" s="25" t="s">
        <v>26</v>
      </c>
      <c r="E10" s="25" t="s">
        <v>22</v>
      </c>
      <c r="F10" s="26" t="s">
        <v>1</v>
      </c>
      <c r="G10" s="27" t="s">
        <v>221</v>
      </c>
      <c r="H10" s="25"/>
    </row>
    <row r="11" spans="1:26" ht="96.75" customHeight="1" x14ac:dyDescent="0.3">
      <c r="A11" s="24" t="s">
        <v>27</v>
      </c>
      <c r="B11" s="25" t="s">
        <v>28</v>
      </c>
      <c r="C11" s="25" t="s">
        <v>222</v>
      </c>
      <c r="D11" s="25" t="s">
        <v>29</v>
      </c>
      <c r="E11" s="25" t="s">
        <v>30</v>
      </c>
      <c r="F11" s="26" t="s">
        <v>1</v>
      </c>
      <c r="G11" s="27" t="s">
        <v>221</v>
      </c>
      <c r="H11" s="25"/>
    </row>
    <row r="12" spans="1:26" ht="109.5" customHeight="1" x14ac:dyDescent="0.3">
      <c r="A12" s="24" t="s">
        <v>31</v>
      </c>
      <c r="B12" s="25" t="s">
        <v>32</v>
      </c>
      <c r="C12" s="25" t="s">
        <v>223</v>
      </c>
      <c r="D12" s="25" t="s">
        <v>33</v>
      </c>
      <c r="E12" s="25" t="s">
        <v>27</v>
      </c>
      <c r="F12" s="26" t="s">
        <v>1</v>
      </c>
      <c r="G12" s="27" t="s">
        <v>221</v>
      </c>
      <c r="H12" s="25"/>
    </row>
    <row r="13" spans="1:26" ht="96.75" customHeight="1" x14ac:dyDescent="0.3">
      <c r="A13" s="24" t="s">
        <v>34</v>
      </c>
      <c r="B13" s="25" t="s">
        <v>35</v>
      </c>
      <c r="C13" s="25" t="s">
        <v>224</v>
      </c>
      <c r="D13" s="25" t="s">
        <v>36</v>
      </c>
      <c r="E13" s="25" t="s">
        <v>30</v>
      </c>
      <c r="F13" s="26" t="s">
        <v>1</v>
      </c>
      <c r="G13" s="27" t="s">
        <v>221</v>
      </c>
      <c r="H13" s="25"/>
    </row>
    <row r="14" spans="1:26" ht="109.5" customHeight="1" x14ac:dyDescent="0.3">
      <c r="A14" s="24" t="s">
        <v>37</v>
      </c>
      <c r="B14" s="25" t="s">
        <v>38</v>
      </c>
      <c r="C14" s="25" t="s">
        <v>39</v>
      </c>
      <c r="D14" s="25" t="s">
        <v>40</v>
      </c>
      <c r="E14" s="25" t="s">
        <v>22</v>
      </c>
      <c r="F14" s="26" t="s">
        <v>1</v>
      </c>
      <c r="G14" s="27" t="s">
        <v>221</v>
      </c>
      <c r="H14" s="25"/>
    </row>
    <row r="15" spans="1:26" ht="96.75" customHeight="1" x14ac:dyDescent="0.3">
      <c r="A15" s="24" t="s">
        <v>41</v>
      </c>
      <c r="B15" s="25" t="s">
        <v>42</v>
      </c>
      <c r="C15" s="25" t="s">
        <v>43</v>
      </c>
      <c r="D15" s="25" t="s">
        <v>44</v>
      </c>
      <c r="E15" s="25" t="s">
        <v>22</v>
      </c>
      <c r="F15" s="26" t="s">
        <v>1</v>
      </c>
      <c r="G15" s="27" t="s">
        <v>221</v>
      </c>
      <c r="H15" s="25"/>
    </row>
    <row r="16" spans="1:26" ht="109.5" customHeight="1" x14ac:dyDescent="0.3">
      <c r="A16" s="24" t="s">
        <v>45</v>
      </c>
      <c r="B16" s="25" t="s">
        <v>46</v>
      </c>
      <c r="C16" s="25" t="s">
        <v>47</v>
      </c>
      <c r="D16" s="25" t="s">
        <v>48</v>
      </c>
      <c r="E16" s="25" t="s">
        <v>22</v>
      </c>
      <c r="F16" s="26" t="s">
        <v>1</v>
      </c>
      <c r="G16" s="27" t="s">
        <v>221</v>
      </c>
      <c r="H16" s="25"/>
    </row>
    <row r="17" spans="1:8" ht="110.4" x14ac:dyDescent="0.3">
      <c r="A17" s="24" t="s">
        <v>49</v>
      </c>
      <c r="B17" s="25" t="s">
        <v>50</v>
      </c>
      <c r="C17" s="25" t="s">
        <v>51</v>
      </c>
      <c r="D17" s="25" t="s">
        <v>52</v>
      </c>
      <c r="E17" s="25" t="s">
        <v>22</v>
      </c>
      <c r="F17" s="26" t="s">
        <v>3</v>
      </c>
      <c r="G17" s="27" t="s">
        <v>221</v>
      </c>
      <c r="H17" s="25"/>
    </row>
    <row r="18" spans="1:8" ht="110.4" x14ac:dyDescent="0.3">
      <c r="A18" s="24" t="s">
        <v>53</v>
      </c>
      <c r="B18" s="25" t="s">
        <v>54</v>
      </c>
      <c r="C18" s="25" t="s">
        <v>55</v>
      </c>
      <c r="D18" s="25" t="s">
        <v>56</v>
      </c>
      <c r="E18" s="25" t="s">
        <v>22</v>
      </c>
      <c r="F18" s="26" t="s">
        <v>1</v>
      </c>
      <c r="G18" s="27" t="s">
        <v>221</v>
      </c>
      <c r="H18" s="25"/>
    </row>
    <row r="19" spans="1:8" ht="109.5" customHeight="1" x14ac:dyDescent="0.3">
      <c r="A19" s="24" t="s">
        <v>57</v>
      </c>
      <c r="B19" s="25" t="s">
        <v>58</v>
      </c>
      <c r="C19" s="25" t="s">
        <v>59</v>
      </c>
      <c r="D19" s="25" t="s">
        <v>60</v>
      </c>
      <c r="E19" s="25" t="s">
        <v>22</v>
      </c>
      <c r="F19" s="26" t="s">
        <v>1</v>
      </c>
      <c r="G19" s="27" t="s">
        <v>221</v>
      </c>
      <c r="H19" s="25"/>
    </row>
    <row r="20" spans="1:8" ht="123" customHeight="1" x14ac:dyDescent="0.3">
      <c r="A20" s="24" t="s">
        <v>61</v>
      </c>
      <c r="B20" s="25" t="s">
        <v>62</v>
      </c>
      <c r="C20" s="25" t="s">
        <v>63</v>
      </c>
      <c r="D20" s="25" t="s">
        <v>64</v>
      </c>
      <c r="E20" s="25" t="s">
        <v>22</v>
      </c>
      <c r="F20" s="26" t="s">
        <v>1</v>
      </c>
      <c r="G20" s="27" t="s">
        <v>221</v>
      </c>
      <c r="H20" s="25"/>
    </row>
    <row r="21" spans="1:8" ht="123" customHeight="1" x14ac:dyDescent="0.3">
      <c r="A21" s="24" t="s">
        <v>65</v>
      </c>
      <c r="B21" s="25" t="s">
        <v>66</v>
      </c>
      <c r="C21" s="25" t="s">
        <v>67</v>
      </c>
      <c r="D21" s="25" t="s">
        <v>68</v>
      </c>
      <c r="E21" s="25" t="s">
        <v>22</v>
      </c>
      <c r="F21" s="26" t="s">
        <v>3</v>
      </c>
      <c r="G21" s="27" t="s">
        <v>221</v>
      </c>
      <c r="H21" s="25"/>
    </row>
    <row r="22" spans="1:8" ht="123" customHeight="1" x14ac:dyDescent="0.3">
      <c r="A22" s="24" t="s">
        <v>69</v>
      </c>
      <c r="B22" s="25" t="s">
        <v>70</v>
      </c>
      <c r="C22" s="25" t="s">
        <v>71</v>
      </c>
      <c r="D22" s="25" t="s">
        <v>225</v>
      </c>
      <c r="E22" s="25" t="s">
        <v>22</v>
      </c>
      <c r="F22" s="26" t="s">
        <v>1</v>
      </c>
      <c r="G22" s="27" t="s">
        <v>221</v>
      </c>
      <c r="H22" s="25"/>
    </row>
    <row r="23" spans="1:8" ht="109.5" customHeight="1" x14ac:dyDescent="0.3">
      <c r="A23" s="24" t="s">
        <v>72</v>
      </c>
      <c r="B23" s="25" t="s">
        <v>73</v>
      </c>
      <c r="C23" s="25" t="s">
        <v>74</v>
      </c>
      <c r="D23" s="25" t="s">
        <v>75</v>
      </c>
      <c r="E23" s="25" t="s">
        <v>69</v>
      </c>
      <c r="F23" s="26" t="s">
        <v>1</v>
      </c>
      <c r="G23" s="27" t="s">
        <v>221</v>
      </c>
      <c r="H23" s="25"/>
    </row>
    <row r="24" spans="1:8" ht="123" customHeight="1" x14ac:dyDescent="0.3">
      <c r="A24" s="24" t="s">
        <v>76</v>
      </c>
      <c r="B24" s="25" t="s">
        <v>77</v>
      </c>
      <c r="C24" s="25" t="s">
        <v>78</v>
      </c>
      <c r="D24" s="25" t="s">
        <v>79</v>
      </c>
      <c r="E24" s="25" t="s">
        <v>69</v>
      </c>
      <c r="F24" s="26" t="s">
        <v>1</v>
      </c>
      <c r="G24" s="27" t="s">
        <v>221</v>
      </c>
      <c r="H24" s="25"/>
    </row>
    <row r="25" spans="1:8" ht="123" customHeight="1" x14ac:dyDescent="0.3">
      <c r="A25" s="24" t="s">
        <v>80</v>
      </c>
      <c r="B25" s="25" t="s">
        <v>81</v>
      </c>
      <c r="C25" s="25" t="s">
        <v>82</v>
      </c>
      <c r="D25" s="25" t="s">
        <v>83</v>
      </c>
      <c r="E25" s="25" t="s">
        <v>69</v>
      </c>
      <c r="F25" s="26" t="s">
        <v>1</v>
      </c>
      <c r="G25" s="27" t="s">
        <v>221</v>
      </c>
      <c r="H25" s="25"/>
    </row>
    <row r="26" spans="1:8" ht="135.75" customHeight="1" x14ac:dyDescent="0.3">
      <c r="A26" s="24" t="s">
        <v>84</v>
      </c>
      <c r="B26" s="25" t="s">
        <v>85</v>
      </c>
      <c r="C26" s="25" t="s">
        <v>86</v>
      </c>
      <c r="D26" s="25" t="s">
        <v>87</v>
      </c>
      <c r="E26" s="25" t="s">
        <v>22</v>
      </c>
      <c r="F26" s="26" t="s">
        <v>1</v>
      </c>
      <c r="G26" s="27" t="s">
        <v>221</v>
      </c>
      <c r="H26" s="25"/>
    </row>
    <row r="27" spans="1:8" ht="123" customHeight="1" x14ac:dyDescent="0.3">
      <c r="A27" s="24" t="s">
        <v>88</v>
      </c>
      <c r="B27" s="25" t="s">
        <v>89</v>
      </c>
      <c r="C27" s="25" t="s">
        <v>90</v>
      </c>
      <c r="D27" s="25" t="s">
        <v>91</v>
      </c>
      <c r="E27" s="25" t="s">
        <v>22</v>
      </c>
      <c r="F27" s="26" t="s">
        <v>1</v>
      </c>
      <c r="G27" s="27" t="s">
        <v>221</v>
      </c>
      <c r="H27" s="25"/>
    </row>
    <row r="28" spans="1:8" ht="123" customHeight="1" x14ac:dyDescent="0.3">
      <c r="A28" s="24" t="s">
        <v>92</v>
      </c>
      <c r="B28" s="25" t="s">
        <v>93</v>
      </c>
      <c r="C28" s="25" t="s">
        <v>94</v>
      </c>
      <c r="D28" s="25" t="s">
        <v>95</v>
      </c>
      <c r="E28" s="25" t="s">
        <v>22</v>
      </c>
      <c r="F28" s="26" t="s">
        <v>3</v>
      </c>
      <c r="G28" s="27" t="s">
        <v>221</v>
      </c>
      <c r="H28" s="25" t="s">
        <v>226</v>
      </c>
    </row>
    <row r="29" spans="1:8" ht="148.5" customHeight="1" x14ac:dyDescent="0.3">
      <c r="A29" s="24" t="s">
        <v>96</v>
      </c>
      <c r="B29" s="25" t="s">
        <v>97</v>
      </c>
      <c r="C29" s="25" t="s">
        <v>98</v>
      </c>
      <c r="D29" s="25" t="s">
        <v>99</v>
      </c>
      <c r="E29" s="25" t="s">
        <v>22</v>
      </c>
      <c r="F29" s="26" t="s">
        <v>1</v>
      </c>
      <c r="G29" s="27" t="s">
        <v>221</v>
      </c>
      <c r="H29" s="25"/>
    </row>
    <row r="30" spans="1:8" ht="135.75" customHeight="1" x14ac:dyDescent="0.3">
      <c r="A30" s="24" t="s">
        <v>100</v>
      </c>
      <c r="B30" s="25" t="s">
        <v>101</v>
      </c>
      <c r="C30" s="25" t="s">
        <v>102</v>
      </c>
      <c r="D30" s="25" t="s">
        <v>103</v>
      </c>
      <c r="E30" s="25" t="s">
        <v>22</v>
      </c>
      <c r="F30" s="26" t="s">
        <v>8</v>
      </c>
      <c r="G30" s="27" t="s">
        <v>221</v>
      </c>
      <c r="H30" s="25"/>
    </row>
    <row r="31" spans="1:8" ht="124.2" x14ac:dyDescent="0.3">
      <c r="A31" s="24" t="s">
        <v>104</v>
      </c>
      <c r="B31" s="25" t="s">
        <v>105</v>
      </c>
      <c r="C31" s="25" t="s">
        <v>106</v>
      </c>
      <c r="D31" s="25" t="s">
        <v>107</v>
      </c>
      <c r="E31" s="25" t="s">
        <v>69</v>
      </c>
      <c r="F31" s="26" t="s">
        <v>1</v>
      </c>
      <c r="G31" s="27" t="s">
        <v>221</v>
      </c>
      <c r="H31" s="25"/>
    </row>
    <row r="32" spans="1:8" ht="151.80000000000001" x14ac:dyDescent="0.3">
      <c r="A32" s="24" t="s">
        <v>108</v>
      </c>
      <c r="B32" s="25" t="s">
        <v>109</v>
      </c>
      <c r="C32" s="25" t="s">
        <v>110</v>
      </c>
      <c r="D32" s="25" t="s">
        <v>111</v>
      </c>
      <c r="E32" s="25" t="s">
        <v>69</v>
      </c>
      <c r="F32" s="26" t="s">
        <v>1</v>
      </c>
      <c r="G32" s="27" t="s">
        <v>221</v>
      </c>
      <c r="H32" s="25"/>
    </row>
    <row r="33" spans="1:8" ht="138" x14ac:dyDescent="0.3">
      <c r="A33" s="24" t="s">
        <v>112</v>
      </c>
      <c r="B33" s="25" t="s">
        <v>113</v>
      </c>
      <c r="C33" s="25" t="s">
        <v>114</v>
      </c>
      <c r="D33" s="25" t="s">
        <v>115</v>
      </c>
      <c r="E33" s="25" t="s">
        <v>69</v>
      </c>
      <c r="F33" s="26" t="s">
        <v>1</v>
      </c>
      <c r="G33" s="27" t="s">
        <v>220</v>
      </c>
      <c r="H33" s="25"/>
    </row>
    <row r="34" spans="1:8" ht="123" customHeight="1" x14ac:dyDescent="0.3">
      <c r="A34" s="24" t="s">
        <v>116</v>
      </c>
      <c r="B34" s="25" t="s">
        <v>117</v>
      </c>
      <c r="C34" s="25" t="s">
        <v>118</v>
      </c>
      <c r="D34" s="25" t="s">
        <v>119</v>
      </c>
      <c r="E34" s="25" t="s">
        <v>108</v>
      </c>
      <c r="F34" s="26" t="s">
        <v>1</v>
      </c>
      <c r="G34" s="27" t="s">
        <v>221</v>
      </c>
      <c r="H34" s="25"/>
    </row>
    <row r="35" spans="1:8" ht="96.6" x14ac:dyDescent="0.3">
      <c r="A35" s="24" t="s">
        <v>120</v>
      </c>
      <c r="B35" s="25" t="s">
        <v>121</v>
      </c>
      <c r="C35" s="25" t="s">
        <v>122</v>
      </c>
      <c r="D35" s="25" t="s">
        <v>123</v>
      </c>
      <c r="E35" s="25" t="s">
        <v>108</v>
      </c>
      <c r="F35" s="26" t="s">
        <v>8</v>
      </c>
      <c r="G35" s="27" t="s">
        <v>227</v>
      </c>
      <c r="H35" s="25" t="s">
        <v>228</v>
      </c>
    </row>
    <row r="36" spans="1:8" ht="110.4" x14ac:dyDescent="0.3">
      <c r="A36" s="24" t="s">
        <v>124</v>
      </c>
      <c r="B36" s="25" t="s">
        <v>125</v>
      </c>
      <c r="C36" s="25" t="s">
        <v>126</v>
      </c>
      <c r="D36" s="25" t="s">
        <v>127</v>
      </c>
      <c r="E36" s="25" t="s">
        <v>22</v>
      </c>
      <c r="F36" s="26" t="s">
        <v>1</v>
      </c>
      <c r="G36" s="27" t="s">
        <v>229</v>
      </c>
      <c r="H36" s="25"/>
    </row>
    <row r="37" spans="1:8" ht="110.4" x14ac:dyDescent="0.3">
      <c r="A37" s="24" t="s">
        <v>128</v>
      </c>
      <c r="B37" s="25" t="s">
        <v>129</v>
      </c>
      <c r="C37" s="25" t="s">
        <v>130</v>
      </c>
      <c r="D37" s="25" t="s">
        <v>131</v>
      </c>
      <c r="E37" s="25" t="s">
        <v>22</v>
      </c>
      <c r="F37" s="26" t="s">
        <v>1</v>
      </c>
      <c r="G37" s="27" t="s">
        <v>230</v>
      </c>
      <c r="H37" s="25"/>
    </row>
  </sheetData>
  <mergeCells count="5">
    <mergeCell ref="B2:H2"/>
    <mergeCell ref="B3:H3"/>
    <mergeCell ref="B4:H4"/>
    <mergeCell ref="F5:H5"/>
    <mergeCell ref="F6:H6"/>
  </mergeCells>
  <dataValidations count="1">
    <dataValidation type="list" allowBlank="1" showInputMessage="1" showErrorMessage="1" prompt=" - " sqref="F9:F599" xr:uid="{907AA9AB-10C5-4514-81D2-56BB6607EDD2}">
      <formula1>$J$2:$J$6</formula1>
      <formula2>0</formula2>
    </dataValidation>
  </dataValidations>
  <pageMargins left="0.7" right="0.7" top="0.75" bottom="0.75" header="0" footer="0"/>
  <pageSetup orientation="landscape" horizontalDpi="300" verticalDpi="300"/>
  <headerFooter>
    <oddHeader>&amp;LFacilitate_Test Case\Company&amp;Rv1.0</oddHeader>
    <oddFooter>&amp;L 02ae-BM/PM/HDCV/FSOFT v2/0&amp;CInternal use&amp;R&amp;P/</oddFooter>
  </headerFooter>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A217F-DF6A-4BC0-8D46-D8A391FA16D2}">
  <dimension ref="A1:Z38"/>
  <sheetViews>
    <sheetView zoomScaleNormal="100" workbookViewId="0">
      <pane ySplit="8" topLeftCell="A9" activePane="bottomLeft" state="frozen"/>
      <selection activeCell="B4" sqref="B4:H4"/>
      <selection pane="bottomLeft" activeCell="B4" sqref="B4:H4"/>
    </sheetView>
  </sheetViews>
  <sheetFormatPr defaultColWidth="14.44140625" defaultRowHeight="14.4" x14ac:dyDescent="0.3"/>
  <cols>
    <col min="1" max="1" width="22" style="7" customWidth="1"/>
    <col min="2" max="2" width="36" style="7" customWidth="1"/>
    <col min="3" max="4" width="54" style="7" customWidth="1"/>
    <col min="5" max="5" width="24" style="7" customWidth="1"/>
    <col min="6" max="6" width="11" style="7" customWidth="1"/>
    <col min="7" max="7" width="12" style="7" customWidth="1"/>
    <col min="8" max="8" width="40" style="7" customWidth="1"/>
    <col min="9" max="9" width="9.44140625" style="7" customWidth="1"/>
    <col min="10" max="10" width="7.5546875" style="7" hidden="1" customWidth="1"/>
    <col min="11" max="11" width="10.33203125" style="7" customWidth="1"/>
    <col min="12" max="26" width="9.109375" style="7" customWidth="1"/>
    <col min="27" max="16384" width="14.44140625" style="7"/>
  </cols>
  <sheetData>
    <row r="1" spans="1:26" ht="13.5" customHeight="1" thickBot="1" x14ac:dyDescent="0.35">
      <c r="A1" s="1"/>
      <c r="B1" s="33"/>
      <c r="C1" s="33"/>
      <c r="D1" s="33"/>
      <c r="E1" s="33"/>
      <c r="F1" s="34"/>
      <c r="G1" s="4"/>
      <c r="H1" s="3"/>
      <c r="I1" s="5"/>
      <c r="J1" s="6"/>
      <c r="K1" s="6"/>
      <c r="L1" s="6"/>
      <c r="M1" s="6"/>
      <c r="N1" s="6"/>
      <c r="O1" s="6"/>
      <c r="P1" s="6"/>
      <c r="Q1" s="6"/>
      <c r="R1" s="6"/>
      <c r="S1" s="6"/>
      <c r="T1" s="6"/>
      <c r="U1" s="6"/>
      <c r="V1" s="6"/>
      <c r="W1" s="6"/>
      <c r="X1" s="6"/>
      <c r="Y1" s="6"/>
      <c r="Z1" s="6"/>
    </row>
    <row r="2" spans="1:26" ht="15" customHeight="1" x14ac:dyDescent="0.3">
      <c r="A2" s="8" t="s">
        <v>0</v>
      </c>
      <c r="B2" s="73" t="s">
        <v>231</v>
      </c>
      <c r="C2" s="73"/>
      <c r="D2" s="73"/>
      <c r="E2" s="73"/>
      <c r="F2" s="73"/>
      <c r="G2" s="73"/>
      <c r="H2" s="73"/>
      <c r="I2" s="5"/>
      <c r="J2" s="6" t="s">
        <v>1</v>
      </c>
      <c r="K2" s="6"/>
      <c r="L2" s="6"/>
      <c r="M2" s="6"/>
      <c r="N2" s="6"/>
      <c r="O2" s="6"/>
      <c r="P2" s="6"/>
      <c r="Q2" s="6"/>
      <c r="R2" s="6"/>
      <c r="S2" s="6"/>
      <c r="T2" s="6"/>
      <c r="U2" s="6"/>
      <c r="V2" s="6"/>
      <c r="W2" s="6"/>
      <c r="X2" s="6"/>
      <c r="Y2" s="6"/>
      <c r="Z2" s="6"/>
    </row>
    <row r="3" spans="1:26" ht="27.75" customHeight="1" x14ac:dyDescent="0.3">
      <c r="A3" s="9" t="s">
        <v>2</v>
      </c>
      <c r="B3" s="73" t="s">
        <v>232</v>
      </c>
      <c r="C3" s="73"/>
      <c r="D3" s="73"/>
      <c r="E3" s="73"/>
      <c r="F3" s="73"/>
      <c r="G3" s="73"/>
      <c r="H3" s="73"/>
      <c r="I3" s="5"/>
      <c r="J3" s="6" t="s">
        <v>3</v>
      </c>
      <c r="K3" s="6"/>
      <c r="L3" s="6"/>
      <c r="M3" s="6"/>
      <c r="N3" s="6"/>
      <c r="O3" s="6"/>
      <c r="P3" s="6"/>
      <c r="Q3" s="6"/>
      <c r="R3" s="6"/>
      <c r="S3" s="6"/>
      <c r="T3" s="6"/>
      <c r="U3" s="6"/>
      <c r="V3" s="6"/>
      <c r="W3" s="6"/>
      <c r="X3" s="6"/>
      <c r="Y3" s="6"/>
      <c r="Z3" s="6"/>
    </row>
    <row r="4" spans="1:26" ht="18" customHeight="1" x14ac:dyDescent="0.3">
      <c r="A4" s="8" t="s">
        <v>4</v>
      </c>
      <c r="B4" s="73" t="s">
        <v>5</v>
      </c>
      <c r="C4" s="73"/>
      <c r="D4" s="73"/>
      <c r="E4" s="73"/>
      <c r="F4" s="73"/>
      <c r="G4" s="73"/>
      <c r="H4" s="73"/>
      <c r="I4" s="5"/>
      <c r="J4" s="6" t="s">
        <v>6</v>
      </c>
      <c r="K4" s="6"/>
      <c r="L4" s="6"/>
      <c r="M4" s="6"/>
      <c r="N4" s="6"/>
      <c r="O4" s="6"/>
      <c r="P4" s="6"/>
      <c r="Q4" s="6"/>
      <c r="R4" s="6"/>
      <c r="S4" s="6"/>
      <c r="T4" s="6"/>
      <c r="U4" s="6"/>
      <c r="V4" s="6"/>
      <c r="W4" s="6"/>
      <c r="X4" s="6"/>
      <c r="Y4" s="6"/>
      <c r="Z4" s="6"/>
    </row>
    <row r="5" spans="1:26" ht="19.5" customHeight="1" x14ac:dyDescent="0.3">
      <c r="A5" s="10" t="s">
        <v>1</v>
      </c>
      <c r="B5" s="11" t="s">
        <v>3</v>
      </c>
      <c r="C5" s="11" t="s">
        <v>7</v>
      </c>
      <c r="D5" s="11" t="s">
        <v>6</v>
      </c>
      <c r="E5" s="12" t="s">
        <v>8</v>
      </c>
      <c r="F5" s="74" t="s">
        <v>9</v>
      </c>
      <c r="G5" s="74"/>
      <c r="H5" s="74"/>
      <c r="I5" s="13"/>
      <c r="J5" s="6" t="s">
        <v>7</v>
      </c>
      <c r="K5" s="6"/>
      <c r="L5" s="6"/>
      <c r="M5" s="6"/>
      <c r="N5" s="6"/>
      <c r="O5" s="6"/>
      <c r="P5" s="6"/>
      <c r="Q5" s="6"/>
      <c r="R5" s="6"/>
      <c r="S5" s="6"/>
      <c r="T5" s="6"/>
      <c r="U5" s="6"/>
      <c r="V5" s="6"/>
      <c r="W5" s="6"/>
      <c r="X5" s="6"/>
      <c r="Y5" s="6"/>
      <c r="Z5" s="6"/>
    </row>
    <row r="6" spans="1:26" ht="15" customHeight="1" thickBot="1" x14ac:dyDescent="0.35">
      <c r="A6" s="14">
        <f>COUNTIF(F9:F996,"Passed")</f>
        <v>0</v>
      </c>
      <c r="B6" s="15">
        <f>COUNTIF(F9:F996,"Failed")</f>
        <v>0</v>
      </c>
      <c r="C6" s="15">
        <f>F6-E6-D6-B6-A6</f>
        <v>30</v>
      </c>
      <c r="D6" s="15">
        <f>COUNTIF(F$9:F$996,"Blocked")</f>
        <v>0</v>
      </c>
      <c r="E6" s="16">
        <f>COUNTIF(F$9:F$996,"Skipped")</f>
        <v>0</v>
      </c>
      <c r="F6" s="75">
        <f>COUNTA(A9:A996)</f>
        <v>30</v>
      </c>
      <c r="G6" s="75"/>
      <c r="H6" s="75"/>
      <c r="I6" s="13"/>
      <c r="J6" s="6" t="s">
        <v>8</v>
      </c>
      <c r="K6" s="6"/>
      <c r="L6" s="6"/>
      <c r="M6" s="6"/>
      <c r="N6" s="6"/>
      <c r="O6" s="6"/>
      <c r="P6" s="6"/>
      <c r="Q6" s="6"/>
      <c r="R6" s="6"/>
      <c r="S6" s="6"/>
      <c r="T6" s="6"/>
      <c r="U6" s="6"/>
      <c r="V6" s="6"/>
      <c r="W6" s="6"/>
      <c r="X6" s="6"/>
      <c r="Y6" s="6"/>
      <c r="Z6" s="6"/>
    </row>
    <row r="7" spans="1:26" ht="15" customHeight="1" x14ac:dyDescent="0.3">
      <c r="A7" s="6"/>
      <c r="B7" s="6"/>
      <c r="C7" s="6"/>
      <c r="D7" s="17"/>
      <c r="E7" s="17"/>
      <c r="F7" s="17"/>
      <c r="G7" s="17"/>
      <c r="H7" s="17"/>
      <c r="I7" s="13"/>
      <c r="J7" s="6"/>
      <c r="K7" s="6"/>
      <c r="L7" s="6"/>
      <c r="M7" s="6"/>
      <c r="N7" s="6"/>
      <c r="O7" s="6"/>
      <c r="P7" s="6"/>
      <c r="Q7" s="6"/>
      <c r="R7" s="6"/>
      <c r="S7" s="6"/>
      <c r="T7" s="6"/>
      <c r="U7" s="6"/>
      <c r="V7" s="6"/>
      <c r="W7" s="6"/>
      <c r="X7" s="6"/>
      <c r="Y7" s="6"/>
      <c r="Z7" s="6"/>
    </row>
    <row r="8" spans="1:26" ht="25.5" customHeight="1" x14ac:dyDescent="0.3">
      <c r="A8" s="35" t="s">
        <v>10</v>
      </c>
      <c r="B8" s="35" t="s">
        <v>11</v>
      </c>
      <c r="C8" s="35" t="s">
        <v>12</v>
      </c>
      <c r="D8" s="35" t="s">
        <v>13</v>
      </c>
      <c r="E8" s="36" t="s">
        <v>14</v>
      </c>
      <c r="F8" s="36" t="s">
        <v>15</v>
      </c>
      <c r="G8" s="36" t="s">
        <v>16</v>
      </c>
      <c r="H8" s="35" t="s">
        <v>17</v>
      </c>
      <c r="I8" s="23"/>
      <c r="J8" s="6"/>
      <c r="K8" s="6"/>
      <c r="L8" s="6"/>
      <c r="M8" s="6"/>
      <c r="N8" s="6"/>
      <c r="O8" s="6"/>
      <c r="P8" s="6"/>
      <c r="Q8" s="6"/>
      <c r="R8" s="6"/>
      <c r="S8" s="6"/>
      <c r="T8" s="6"/>
      <c r="U8" s="6"/>
      <c r="V8" s="6"/>
      <c r="W8" s="6"/>
      <c r="X8" s="6"/>
      <c r="Y8" s="6"/>
      <c r="Z8" s="6"/>
    </row>
    <row r="9" spans="1:26" ht="84" customHeight="1" x14ac:dyDescent="0.3">
      <c r="A9" s="26" t="s">
        <v>233</v>
      </c>
      <c r="B9" s="25" t="s">
        <v>149</v>
      </c>
      <c r="C9" s="25" t="s">
        <v>234</v>
      </c>
      <c r="D9" s="25" t="s">
        <v>235</v>
      </c>
      <c r="E9" s="37" t="s">
        <v>22</v>
      </c>
      <c r="F9" s="26" t="s">
        <v>7</v>
      </c>
      <c r="G9" s="27"/>
      <c r="H9" s="25"/>
    </row>
    <row r="10" spans="1:26" ht="123" customHeight="1" x14ac:dyDescent="0.3">
      <c r="A10" s="26" t="s">
        <v>236</v>
      </c>
      <c r="B10" s="25" t="s">
        <v>150</v>
      </c>
      <c r="C10" s="25" t="s">
        <v>237</v>
      </c>
      <c r="D10" s="25" t="s">
        <v>238</v>
      </c>
      <c r="E10" s="37" t="s">
        <v>30</v>
      </c>
      <c r="F10" s="26" t="s">
        <v>7</v>
      </c>
      <c r="G10" s="27"/>
      <c r="H10" s="25" t="s">
        <v>239</v>
      </c>
    </row>
    <row r="11" spans="1:26" ht="96.75" customHeight="1" x14ac:dyDescent="0.3">
      <c r="A11" s="26" t="s">
        <v>240</v>
      </c>
      <c r="B11" s="25" t="s">
        <v>151</v>
      </c>
      <c r="C11" s="25" t="s">
        <v>241</v>
      </c>
      <c r="D11" s="25" t="s">
        <v>242</v>
      </c>
      <c r="E11" s="37" t="s">
        <v>30</v>
      </c>
      <c r="F11" s="26" t="s">
        <v>7</v>
      </c>
      <c r="G11" s="27"/>
      <c r="H11" s="25"/>
    </row>
    <row r="12" spans="1:26" ht="109.5" customHeight="1" x14ac:dyDescent="0.3">
      <c r="A12" s="26" t="s">
        <v>243</v>
      </c>
      <c r="B12" s="25" t="s">
        <v>152</v>
      </c>
      <c r="C12" s="25" t="s">
        <v>244</v>
      </c>
      <c r="D12" s="25" t="s">
        <v>245</v>
      </c>
      <c r="E12" s="37" t="s">
        <v>246</v>
      </c>
      <c r="F12" s="26" t="s">
        <v>7</v>
      </c>
      <c r="G12" s="27"/>
      <c r="H12" s="25" t="s">
        <v>247</v>
      </c>
    </row>
    <row r="13" spans="1:26" ht="109.5" customHeight="1" x14ac:dyDescent="0.3">
      <c r="A13" s="26" t="s">
        <v>248</v>
      </c>
      <c r="B13" s="25" t="s">
        <v>154</v>
      </c>
      <c r="C13" s="25" t="s">
        <v>249</v>
      </c>
      <c r="D13" s="25" t="s">
        <v>250</v>
      </c>
      <c r="E13" s="37" t="s">
        <v>22</v>
      </c>
      <c r="F13" s="26" t="s">
        <v>7</v>
      </c>
      <c r="G13" s="27"/>
      <c r="H13" s="25" t="s">
        <v>251</v>
      </c>
    </row>
    <row r="14" spans="1:26" ht="174.75" customHeight="1" x14ac:dyDescent="0.3">
      <c r="A14" s="26" t="s">
        <v>252</v>
      </c>
      <c r="B14" s="25" t="s">
        <v>155</v>
      </c>
      <c r="C14" s="25" t="s">
        <v>253</v>
      </c>
      <c r="D14" s="25" t="s">
        <v>254</v>
      </c>
      <c r="E14" s="37" t="s">
        <v>22</v>
      </c>
      <c r="F14" s="26" t="s">
        <v>7</v>
      </c>
      <c r="G14" s="27"/>
      <c r="H14" s="25"/>
    </row>
    <row r="15" spans="1:26" ht="162" customHeight="1" x14ac:dyDescent="0.3">
      <c r="A15" s="26" t="s">
        <v>255</v>
      </c>
      <c r="B15" s="25" t="s">
        <v>156</v>
      </c>
      <c r="C15" s="25" t="s">
        <v>256</v>
      </c>
      <c r="D15" s="25" t="s">
        <v>257</v>
      </c>
      <c r="E15" s="37" t="s">
        <v>22</v>
      </c>
      <c r="F15" s="26" t="s">
        <v>7</v>
      </c>
      <c r="G15" s="27"/>
      <c r="H15" s="25" t="s">
        <v>258</v>
      </c>
    </row>
    <row r="16" spans="1:26" ht="187.5" customHeight="1" x14ac:dyDescent="0.3">
      <c r="A16" s="26" t="s">
        <v>259</v>
      </c>
      <c r="B16" s="25" t="s">
        <v>157</v>
      </c>
      <c r="C16" s="25" t="s">
        <v>260</v>
      </c>
      <c r="D16" s="25" t="s">
        <v>261</v>
      </c>
      <c r="E16" s="37" t="s">
        <v>22</v>
      </c>
      <c r="F16" s="26" t="s">
        <v>7</v>
      </c>
      <c r="G16" s="27"/>
      <c r="H16" s="25" t="s">
        <v>262</v>
      </c>
    </row>
    <row r="17" spans="1:8" ht="96.75" customHeight="1" x14ac:dyDescent="0.3">
      <c r="A17" s="26" t="s">
        <v>263</v>
      </c>
      <c r="B17" s="25" t="s">
        <v>158</v>
      </c>
      <c r="C17" s="25" t="s">
        <v>264</v>
      </c>
      <c r="D17" s="25" t="s">
        <v>265</v>
      </c>
      <c r="E17" s="37" t="s">
        <v>22</v>
      </c>
      <c r="F17" s="26" t="s">
        <v>7</v>
      </c>
      <c r="G17" s="27"/>
      <c r="H17" s="25" t="s">
        <v>266</v>
      </c>
    </row>
    <row r="18" spans="1:8" ht="162" customHeight="1" x14ac:dyDescent="0.3">
      <c r="A18" s="26" t="s">
        <v>267</v>
      </c>
      <c r="B18" s="25" t="s">
        <v>160</v>
      </c>
      <c r="C18" s="25" t="s">
        <v>268</v>
      </c>
      <c r="D18" s="25" t="s">
        <v>269</v>
      </c>
      <c r="E18" s="37" t="s">
        <v>22</v>
      </c>
      <c r="F18" s="26" t="s">
        <v>7</v>
      </c>
      <c r="G18" s="27"/>
      <c r="H18" s="25" t="s">
        <v>270</v>
      </c>
    </row>
    <row r="19" spans="1:8" ht="123" customHeight="1" x14ac:dyDescent="0.3">
      <c r="A19" s="26" t="s">
        <v>271</v>
      </c>
      <c r="B19" s="25" t="s">
        <v>161</v>
      </c>
      <c r="C19" s="25" t="s">
        <v>272</v>
      </c>
      <c r="D19" s="25" t="s">
        <v>273</v>
      </c>
      <c r="E19" s="37" t="s">
        <v>22</v>
      </c>
      <c r="F19" s="26" t="s">
        <v>7</v>
      </c>
      <c r="G19" s="27"/>
      <c r="H19" s="25"/>
    </row>
    <row r="20" spans="1:8" ht="123" customHeight="1" x14ac:dyDescent="0.3">
      <c r="A20" s="26" t="s">
        <v>274</v>
      </c>
      <c r="B20" s="25" t="s">
        <v>162</v>
      </c>
      <c r="C20" s="25" t="s">
        <v>275</v>
      </c>
      <c r="D20" s="25" t="s">
        <v>276</v>
      </c>
      <c r="E20" s="37" t="s">
        <v>22</v>
      </c>
      <c r="F20" s="26" t="s">
        <v>7</v>
      </c>
      <c r="G20" s="27"/>
      <c r="H20" s="25" t="s">
        <v>277</v>
      </c>
    </row>
    <row r="21" spans="1:8" ht="174.75" customHeight="1" x14ac:dyDescent="0.3">
      <c r="A21" s="26" t="s">
        <v>278</v>
      </c>
      <c r="B21" s="25" t="s">
        <v>163</v>
      </c>
      <c r="C21" s="25" t="s">
        <v>279</v>
      </c>
      <c r="D21" s="25" t="s">
        <v>280</v>
      </c>
      <c r="E21" s="37" t="s">
        <v>22</v>
      </c>
      <c r="F21" s="26" t="s">
        <v>7</v>
      </c>
      <c r="G21" s="27"/>
      <c r="H21" s="25"/>
    </row>
    <row r="22" spans="1:8" ht="174.75" customHeight="1" x14ac:dyDescent="0.3">
      <c r="A22" s="26" t="s">
        <v>281</v>
      </c>
      <c r="B22" s="25" t="s">
        <v>165</v>
      </c>
      <c r="C22" s="25" t="s">
        <v>282</v>
      </c>
      <c r="D22" s="25" t="s">
        <v>283</v>
      </c>
      <c r="E22" s="37" t="s">
        <v>22</v>
      </c>
      <c r="F22" s="26" t="s">
        <v>7</v>
      </c>
      <c r="G22" s="27"/>
      <c r="H22" s="25" t="s">
        <v>284</v>
      </c>
    </row>
    <row r="23" spans="1:8" ht="162" customHeight="1" x14ac:dyDescent="0.3">
      <c r="A23" s="26" t="s">
        <v>285</v>
      </c>
      <c r="B23" s="25" t="s">
        <v>166</v>
      </c>
      <c r="C23" s="25" t="s">
        <v>286</v>
      </c>
      <c r="D23" s="25" t="s">
        <v>287</v>
      </c>
      <c r="E23" s="37" t="s">
        <v>22</v>
      </c>
      <c r="F23" s="26" t="s">
        <v>7</v>
      </c>
      <c r="G23" s="27"/>
      <c r="H23" s="25"/>
    </row>
    <row r="24" spans="1:8" ht="162" customHeight="1" x14ac:dyDescent="0.3">
      <c r="A24" s="26" t="s">
        <v>288</v>
      </c>
      <c r="B24" s="25" t="s">
        <v>167</v>
      </c>
      <c r="C24" s="25" t="s">
        <v>289</v>
      </c>
      <c r="D24" s="25" t="s">
        <v>290</v>
      </c>
      <c r="E24" s="37" t="s">
        <v>22</v>
      </c>
      <c r="F24" s="26" t="s">
        <v>7</v>
      </c>
      <c r="G24" s="27"/>
      <c r="H24" s="25"/>
    </row>
    <row r="25" spans="1:8" ht="187.5" customHeight="1" x14ac:dyDescent="0.3">
      <c r="A25" s="26" t="s">
        <v>291</v>
      </c>
      <c r="B25" s="25" t="s">
        <v>168</v>
      </c>
      <c r="C25" s="25" t="s">
        <v>292</v>
      </c>
      <c r="D25" s="25" t="s">
        <v>293</v>
      </c>
      <c r="E25" s="37" t="s">
        <v>22</v>
      </c>
      <c r="F25" s="26" t="s">
        <v>7</v>
      </c>
      <c r="G25" s="27"/>
      <c r="H25" s="25" t="s">
        <v>294</v>
      </c>
    </row>
    <row r="26" spans="1:8" ht="174.75" customHeight="1" x14ac:dyDescent="0.3">
      <c r="A26" s="26" t="s">
        <v>295</v>
      </c>
      <c r="B26" s="25" t="s">
        <v>169</v>
      </c>
      <c r="C26" s="25" t="s">
        <v>296</v>
      </c>
      <c r="D26" s="25" t="s">
        <v>297</v>
      </c>
      <c r="E26" s="37" t="s">
        <v>22</v>
      </c>
      <c r="F26" s="26" t="s">
        <v>7</v>
      </c>
      <c r="G26" s="27"/>
      <c r="H26" s="25" t="s">
        <v>298</v>
      </c>
    </row>
    <row r="27" spans="1:8" ht="162" customHeight="1" x14ac:dyDescent="0.3">
      <c r="A27" s="26" t="s">
        <v>299</v>
      </c>
      <c r="B27" s="25" t="s">
        <v>170</v>
      </c>
      <c r="C27" s="25" t="s">
        <v>300</v>
      </c>
      <c r="D27" s="25" t="s">
        <v>301</v>
      </c>
      <c r="E27" s="37" t="s">
        <v>22</v>
      </c>
      <c r="F27" s="26" t="s">
        <v>7</v>
      </c>
      <c r="G27" s="27"/>
      <c r="H27" s="25" t="s">
        <v>302</v>
      </c>
    </row>
    <row r="28" spans="1:8" ht="201" customHeight="1" x14ac:dyDescent="0.3">
      <c r="A28" s="26" t="s">
        <v>303</v>
      </c>
      <c r="B28" s="25" t="s">
        <v>171</v>
      </c>
      <c r="C28" s="25" t="s">
        <v>304</v>
      </c>
      <c r="D28" s="25" t="s">
        <v>305</v>
      </c>
      <c r="E28" s="37" t="s">
        <v>22</v>
      </c>
      <c r="F28" s="26" t="s">
        <v>7</v>
      </c>
      <c r="G28" s="27"/>
      <c r="H28" s="25" t="s">
        <v>306</v>
      </c>
    </row>
    <row r="29" spans="1:8" ht="148.5" customHeight="1" x14ac:dyDescent="0.3">
      <c r="A29" s="26" t="s">
        <v>307</v>
      </c>
      <c r="B29" s="25" t="s">
        <v>173</v>
      </c>
      <c r="C29" s="25" t="s">
        <v>308</v>
      </c>
      <c r="D29" s="25" t="s">
        <v>309</v>
      </c>
      <c r="E29" s="37" t="s">
        <v>22</v>
      </c>
      <c r="F29" s="26" t="s">
        <v>7</v>
      </c>
      <c r="G29" s="27"/>
      <c r="H29" s="25"/>
    </row>
    <row r="30" spans="1:8" ht="123" customHeight="1" x14ac:dyDescent="0.3">
      <c r="A30" s="26" t="s">
        <v>310</v>
      </c>
      <c r="B30" s="25" t="s">
        <v>174</v>
      </c>
      <c r="C30" s="25" t="s">
        <v>311</v>
      </c>
      <c r="D30" s="25" t="s">
        <v>312</v>
      </c>
      <c r="E30" s="37" t="s">
        <v>22</v>
      </c>
      <c r="F30" s="26" t="s">
        <v>7</v>
      </c>
      <c r="G30" s="27"/>
      <c r="H30" s="25" t="s">
        <v>313</v>
      </c>
    </row>
    <row r="31" spans="1:8" ht="109.5" customHeight="1" x14ac:dyDescent="0.3">
      <c r="A31" s="26" t="s">
        <v>314</v>
      </c>
      <c r="B31" s="25" t="s">
        <v>175</v>
      </c>
      <c r="C31" s="25" t="s">
        <v>315</v>
      </c>
      <c r="D31" s="25" t="s">
        <v>316</v>
      </c>
      <c r="E31" s="37" t="s">
        <v>22</v>
      </c>
      <c r="F31" s="26" t="s">
        <v>7</v>
      </c>
      <c r="G31" s="27"/>
      <c r="H31" s="25" t="s">
        <v>317</v>
      </c>
    </row>
    <row r="32" spans="1:8" ht="135.75" customHeight="1" x14ac:dyDescent="0.3">
      <c r="A32" s="26" t="s">
        <v>318</v>
      </c>
      <c r="B32" s="25" t="s">
        <v>176</v>
      </c>
      <c r="C32" s="25" t="s">
        <v>319</v>
      </c>
      <c r="D32" s="25" t="s">
        <v>320</v>
      </c>
      <c r="E32" s="37" t="s">
        <v>22</v>
      </c>
      <c r="F32" s="26" t="s">
        <v>7</v>
      </c>
      <c r="G32" s="27"/>
      <c r="H32" s="25"/>
    </row>
    <row r="33" spans="1:8" ht="109.5" customHeight="1" x14ac:dyDescent="0.3">
      <c r="A33" s="26" t="s">
        <v>321</v>
      </c>
      <c r="B33" s="25" t="s">
        <v>177</v>
      </c>
      <c r="C33" s="25" t="s">
        <v>322</v>
      </c>
      <c r="D33" s="25" t="s">
        <v>323</v>
      </c>
      <c r="E33" s="37" t="s">
        <v>22</v>
      </c>
      <c r="F33" s="26" t="s">
        <v>7</v>
      </c>
      <c r="G33" s="27"/>
      <c r="H33" s="25" t="s">
        <v>324</v>
      </c>
    </row>
    <row r="34" spans="1:8" ht="109.5" customHeight="1" x14ac:dyDescent="0.3">
      <c r="A34" s="26" t="s">
        <v>325</v>
      </c>
      <c r="B34" s="25" t="s">
        <v>179</v>
      </c>
      <c r="C34" s="25" t="s">
        <v>326</v>
      </c>
      <c r="D34" s="25" t="s">
        <v>327</v>
      </c>
      <c r="E34" s="37" t="s">
        <v>22</v>
      </c>
      <c r="F34" s="26" t="s">
        <v>7</v>
      </c>
      <c r="G34" s="27"/>
      <c r="H34" s="25" t="s">
        <v>328</v>
      </c>
    </row>
    <row r="35" spans="1:8" ht="109.5" customHeight="1" x14ac:dyDescent="0.3">
      <c r="A35" s="26" t="s">
        <v>329</v>
      </c>
      <c r="B35" s="25" t="s">
        <v>180</v>
      </c>
      <c r="C35" s="25" t="s">
        <v>330</v>
      </c>
      <c r="D35" s="25" t="s">
        <v>331</v>
      </c>
      <c r="E35" s="37" t="s">
        <v>325</v>
      </c>
      <c r="F35" s="26" t="s">
        <v>7</v>
      </c>
      <c r="G35" s="27"/>
      <c r="H35" s="25"/>
    </row>
    <row r="36" spans="1:8" ht="109.5" customHeight="1" x14ac:dyDescent="0.3">
      <c r="A36" s="26" t="s">
        <v>332</v>
      </c>
      <c r="B36" s="25" t="s">
        <v>181</v>
      </c>
      <c r="C36" s="25" t="s">
        <v>333</v>
      </c>
      <c r="D36" s="25" t="s">
        <v>334</v>
      </c>
      <c r="E36" s="37" t="s">
        <v>325</v>
      </c>
      <c r="F36" s="26" t="s">
        <v>7</v>
      </c>
      <c r="G36" s="27"/>
      <c r="H36" s="25"/>
    </row>
    <row r="37" spans="1:8" ht="123" customHeight="1" x14ac:dyDescent="0.3">
      <c r="A37" s="26" t="s">
        <v>335</v>
      </c>
      <c r="B37" s="25" t="s">
        <v>182</v>
      </c>
      <c r="C37" s="25" t="s">
        <v>336</v>
      </c>
      <c r="D37" s="25" t="s">
        <v>337</v>
      </c>
      <c r="E37" s="37" t="s">
        <v>325</v>
      </c>
      <c r="F37" s="26" t="s">
        <v>7</v>
      </c>
      <c r="G37" s="27"/>
      <c r="H37" s="25"/>
    </row>
    <row r="38" spans="1:8" ht="179.4" x14ac:dyDescent="0.3">
      <c r="A38" s="26" t="s">
        <v>338</v>
      </c>
      <c r="B38" s="25" t="s">
        <v>183</v>
      </c>
      <c r="C38" s="25" t="s">
        <v>339</v>
      </c>
      <c r="D38" s="25" t="s">
        <v>340</v>
      </c>
      <c r="E38" s="37" t="s">
        <v>325</v>
      </c>
      <c r="F38" s="26" t="s">
        <v>7</v>
      </c>
      <c r="G38" s="27"/>
      <c r="H38" s="25"/>
    </row>
  </sheetData>
  <mergeCells count="5">
    <mergeCell ref="B2:H2"/>
    <mergeCell ref="B3:H3"/>
    <mergeCell ref="B4:H4"/>
    <mergeCell ref="F5:H5"/>
    <mergeCell ref="F6:H6"/>
  </mergeCells>
  <dataValidations count="1">
    <dataValidation type="list" allowBlank="1" showInputMessage="1" showErrorMessage="1" prompt=" - " sqref="F9:F600" xr:uid="{1AC6C90C-381E-4037-9CF1-C5C50D97D0E6}">
      <formula1>$J$2:$J$6</formula1>
      <formula2>0</formula2>
    </dataValidation>
  </dataValidations>
  <pageMargins left="0.7" right="0.7" top="0.75" bottom="0.75" header="0" footer="0"/>
  <pageSetup orientation="landscape" horizontalDpi="300" verticalDpi="300"/>
  <headerFooter>
    <oddHeader>&amp;LFacilitate_Test Case\Company&amp;Rv1.0</oddHeader>
    <oddFooter>&amp;L 02ae-BM/PM/HDCV/FSOFT v2/0&amp;CInternal use&amp;R&amp;P/</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82E60-5D04-46D8-949A-0E7994D0E237}">
  <dimension ref="A1:Z38"/>
  <sheetViews>
    <sheetView zoomScaleNormal="100" workbookViewId="0">
      <pane ySplit="8" topLeftCell="A9" activePane="bottomLeft" state="frozen"/>
      <selection activeCell="B4" sqref="B4:H4"/>
      <selection pane="bottomLeft" activeCell="B4" sqref="B4:H4"/>
    </sheetView>
  </sheetViews>
  <sheetFormatPr defaultColWidth="14.44140625" defaultRowHeight="14.4" x14ac:dyDescent="0.3"/>
  <cols>
    <col min="1" max="1" width="22" style="7" customWidth="1"/>
    <col min="2" max="2" width="36" style="7" customWidth="1"/>
    <col min="3" max="4" width="54" style="7" customWidth="1"/>
    <col min="5" max="5" width="24" style="7" customWidth="1"/>
    <col min="6" max="6" width="11" style="7" customWidth="1"/>
    <col min="7" max="7" width="12" style="7" customWidth="1"/>
    <col min="8" max="8" width="40" style="7" customWidth="1"/>
    <col min="9" max="9" width="9.44140625" style="7" customWidth="1"/>
    <col min="10" max="10" width="1.44140625" style="7" hidden="1" customWidth="1"/>
    <col min="11" max="11" width="10.33203125" style="7" customWidth="1"/>
    <col min="12" max="26" width="9.109375" style="7" customWidth="1"/>
    <col min="27" max="16384" width="14.44140625" style="7"/>
  </cols>
  <sheetData>
    <row r="1" spans="1:26" ht="13.5" customHeight="1" thickBot="1" x14ac:dyDescent="0.35">
      <c r="A1" s="1"/>
      <c r="B1" s="33"/>
      <c r="C1" s="33"/>
      <c r="D1" s="33"/>
      <c r="E1" s="33"/>
      <c r="F1" s="34"/>
      <c r="G1" s="4"/>
      <c r="H1" s="3"/>
      <c r="I1" s="5"/>
      <c r="J1" s="6"/>
      <c r="K1" s="6"/>
      <c r="L1" s="6"/>
      <c r="M1" s="6"/>
      <c r="N1" s="6"/>
      <c r="O1" s="6"/>
      <c r="P1" s="6"/>
      <c r="Q1" s="6"/>
      <c r="R1" s="6"/>
      <c r="S1" s="6"/>
      <c r="T1" s="6"/>
      <c r="U1" s="6"/>
      <c r="V1" s="6"/>
      <c r="W1" s="6"/>
      <c r="X1" s="6"/>
      <c r="Y1" s="6"/>
      <c r="Z1" s="6"/>
    </row>
    <row r="2" spans="1:26" ht="15" customHeight="1" x14ac:dyDescent="0.3">
      <c r="A2" s="8" t="s">
        <v>0</v>
      </c>
      <c r="B2" s="73" t="s">
        <v>341</v>
      </c>
      <c r="C2" s="73"/>
      <c r="D2" s="73"/>
      <c r="E2" s="73"/>
      <c r="F2" s="73"/>
      <c r="G2" s="73"/>
      <c r="H2" s="73"/>
      <c r="I2" s="5"/>
      <c r="J2" s="6" t="s">
        <v>1</v>
      </c>
      <c r="K2" s="6"/>
      <c r="L2" s="6"/>
      <c r="M2" s="6"/>
      <c r="N2" s="6"/>
      <c r="O2" s="6"/>
      <c r="P2" s="6"/>
      <c r="Q2" s="6"/>
      <c r="R2" s="6"/>
      <c r="S2" s="6"/>
      <c r="T2" s="6"/>
      <c r="U2" s="6"/>
      <c r="V2" s="6"/>
      <c r="W2" s="6"/>
      <c r="X2" s="6"/>
      <c r="Y2" s="6"/>
      <c r="Z2" s="6"/>
    </row>
    <row r="3" spans="1:26" ht="27.75" customHeight="1" x14ac:dyDescent="0.3">
      <c r="A3" s="9" t="s">
        <v>2</v>
      </c>
      <c r="B3" s="73" t="s">
        <v>232</v>
      </c>
      <c r="C3" s="73"/>
      <c r="D3" s="73"/>
      <c r="E3" s="73"/>
      <c r="F3" s="73"/>
      <c r="G3" s="73"/>
      <c r="H3" s="73"/>
      <c r="I3" s="5"/>
      <c r="J3" s="6" t="s">
        <v>3</v>
      </c>
      <c r="K3" s="6"/>
      <c r="L3" s="6"/>
      <c r="M3" s="6"/>
      <c r="N3" s="6"/>
      <c r="O3" s="6"/>
      <c r="P3" s="6"/>
      <c r="Q3" s="6"/>
      <c r="R3" s="6"/>
      <c r="S3" s="6"/>
      <c r="T3" s="6"/>
      <c r="U3" s="6"/>
      <c r="V3" s="6"/>
      <c r="W3" s="6"/>
      <c r="X3" s="6"/>
      <c r="Y3" s="6"/>
      <c r="Z3" s="6"/>
    </row>
    <row r="4" spans="1:26" ht="18" customHeight="1" x14ac:dyDescent="0.3">
      <c r="A4" s="8" t="s">
        <v>4</v>
      </c>
      <c r="B4" s="73" t="s">
        <v>5</v>
      </c>
      <c r="C4" s="73"/>
      <c r="D4" s="73"/>
      <c r="E4" s="73"/>
      <c r="F4" s="73"/>
      <c r="G4" s="73"/>
      <c r="H4" s="73"/>
      <c r="I4" s="5"/>
      <c r="J4" s="6" t="s">
        <v>6</v>
      </c>
      <c r="K4" s="6"/>
      <c r="L4" s="6"/>
      <c r="M4" s="6"/>
      <c r="N4" s="6"/>
      <c r="O4" s="6"/>
      <c r="P4" s="6"/>
      <c r="Q4" s="6"/>
      <c r="R4" s="6"/>
      <c r="S4" s="6"/>
      <c r="T4" s="6"/>
      <c r="U4" s="6"/>
      <c r="V4" s="6"/>
      <c r="W4" s="6"/>
      <c r="X4" s="6"/>
      <c r="Y4" s="6"/>
      <c r="Z4" s="6"/>
    </row>
    <row r="5" spans="1:26" ht="19.5" customHeight="1" x14ac:dyDescent="0.3">
      <c r="A5" s="10" t="s">
        <v>1</v>
      </c>
      <c r="B5" s="11" t="s">
        <v>3</v>
      </c>
      <c r="C5" s="11" t="s">
        <v>7</v>
      </c>
      <c r="D5" s="11" t="s">
        <v>6</v>
      </c>
      <c r="E5" s="12" t="s">
        <v>8</v>
      </c>
      <c r="F5" s="74" t="s">
        <v>9</v>
      </c>
      <c r="G5" s="74"/>
      <c r="H5" s="74"/>
      <c r="I5" s="13"/>
      <c r="J5" s="6" t="s">
        <v>7</v>
      </c>
      <c r="K5" s="6"/>
      <c r="L5" s="6"/>
      <c r="M5" s="6"/>
      <c r="N5" s="6"/>
      <c r="O5" s="6"/>
      <c r="P5" s="6"/>
      <c r="Q5" s="6"/>
      <c r="R5" s="6"/>
      <c r="S5" s="6"/>
      <c r="T5" s="6"/>
      <c r="U5" s="6"/>
      <c r="V5" s="6"/>
      <c r="W5" s="6"/>
      <c r="X5" s="6"/>
      <c r="Y5" s="6"/>
      <c r="Z5" s="6"/>
    </row>
    <row r="6" spans="1:26" ht="15" customHeight="1" thickBot="1" x14ac:dyDescent="0.35">
      <c r="A6" s="14">
        <f>COUNTIF(F9:F996,"Passed")</f>
        <v>0</v>
      </c>
      <c r="B6" s="15">
        <f>COUNTIF(F9:F996,"Failed")</f>
        <v>0</v>
      </c>
      <c r="C6" s="15">
        <f>F6-E6-D6-B6-A6</f>
        <v>30</v>
      </c>
      <c r="D6" s="15">
        <f>COUNTIF(F$9:F$996,"Blocked")</f>
        <v>0</v>
      </c>
      <c r="E6" s="16">
        <f>COUNTIF(F$9:F$996,"Skipped")</f>
        <v>0</v>
      </c>
      <c r="F6" s="75">
        <f>COUNTA(A9:A996)</f>
        <v>30</v>
      </c>
      <c r="G6" s="75"/>
      <c r="H6" s="75"/>
      <c r="I6" s="13"/>
      <c r="J6" s="6" t="s">
        <v>8</v>
      </c>
      <c r="K6" s="6"/>
      <c r="L6" s="6"/>
      <c r="M6" s="6"/>
      <c r="N6" s="6"/>
      <c r="O6" s="6"/>
      <c r="P6" s="6"/>
      <c r="Q6" s="6"/>
      <c r="R6" s="6"/>
      <c r="S6" s="6"/>
      <c r="T6" s="6"/>
      <c r="U6" s="6"/>
      <c r="V6" s="6"/>
      <c r="W6" s="6"/>
      <c r="X6" s="6"/>
      <c r="Y6" s="6"/>
      <c r="Z6" s="6"/>
    </row>
    <row r="7" spans="1:26" ht="15" customHeight="1" x14ac:dyDescent="0.3">
      <c r="A7" s="6"/>
      <c r="B7" s="6"/>
      <c r="C7" s="6"/>
      <c r="D7" s="17"/>
      <c r="E7" s="17"/>
      <c r="F7" s="17"/>
      <c r="G7" s="17"/>
      <c r="H7" s="17"/>
      <c r="I7" s="13"/>
      <c r="J7" s="6"/>
      <c r="K7" s="6"/>
      <c r="L7" s="6"/>
      <c r="M7" s="6"/>
      <c r="N7" s="6"/>
      <c r="O7" s="6"/>
      <c r="P7" s="6"/>
      <c r="Q7" s="6"/>
      <c r="R7" s="6"/>
      <c r="S7" s="6"/>
      <c r="T7" s="6"/>
      <c r="U7" s="6"/>
      <c r="V7" s="6"/>
      <c r="W7" s="6"/>
      <c r="X7" s="6"/>
      <c r="Y7" s="6"/>
      <c r="Z7" s="6"/>
    </row>
    <row r="8" spans="1:26" ht="25.5" customHeight="1" x14ac:dyDescent="0.3">
      <c r="A8" s="35" t="s">
        <v>10</v>
      </c>
      <c r="B8" s="35" t="s">
        <v>11</v>
      </c>
      <c r="C8" s="35" t="s">
        <v>12</v>
      </c>
      <c r="D8" s="35" t="s">
        <v>13</v>
      </c>
      <c r="E8" s="36" t="s">
        <v>14</v>
      </c>
      <c r="F8" s="36" t="s">
        <v>15</v>
      </c>
      <c r="G8" s="36" t="s">
        <v>16</v>
      </c>
      <c r="H8" s="35" t="s">
        <v>17</v>
      </c>
      <c r="I8" s="23"/>
      <c r="J8" s="6"/>
      <c r="K8" s="6"/>
      <c r="L8" s="6"/>
      <c r="M8" s="6"/>
      <c r="N8" s="6"/>
      <c r="O8" s="6"/>
      <c r="P8" s="6"/>
      <c r="Q8" s="6"/>
      <c r="R8" s="6"/>
      <c r="S8" s="6"/>
      <c r="T8" s="6"/>
      <c r="U8" s="6"/>
      <c r="V8" s="6"/>
      <c r="W8" s="6"/>
      <c r="X8" s="6"/>
      <c r="Y8" s="6"/>
      <c r="Z8" s="6"/>
    </row>
    <row r="9" spans="1:26" ht="123" customHeight="1" x14ac:dyDescent="0.3">
      <c r="A9" s="26" t="s">
        <v>342</v>
      </c>
      <c r="B9" s="25" t="s">
        <v>186</v>
      </c>
      <c r="C9" s="25" t="s">
        <v>343</v>
      </c>
      <c r="D9" s="25" t="s">
        <v>344</v>
      </c>
      <c r="E9" s="37" t="s">
        <v>30</v>
      </c>
      <c r="F9" s="26" t="s">
        <v>7</v>
      </c>
      <c r="G9" s="27"/>
      <c r="H9" s="25" t="s">
        <v>345</v>
      </c>
    </row>
    <row r="10" spans="1:26" ht="135.75" customHeight="1" x14ac:dyDescent="0.3">
      <c r="A10" s="26" t="s">
        <v>346</v>
      </c>
      <c r="B10" s="25" t="s">
        <v>187</v>
      </c>
      <c r="C10" s="25" t="s">
        <v>347</v>
      </c>
      <c r="D10" s="25" t="s">
        <v>348</v>
      </c>
      <c r="E10" s="37" t="s">
        <v>30</v>
      </c>
      <c r="F10" s="26" t="s">
        <v>7</v>
      </c>
      <c r="G10" s="27"/>
      <c r="H10" s="25" t="s">
        <v>349</v>
      </c>
    </row>
    <row r="11" spans="1:26" ht="96.75" customHeight="1" x14ac:dyDescent="0.3">
      <c r="A11" s="26" t="s">
        <v>350</v>
      </c>
      <c r="B11" s="25" t="s">
        <v>188</v>
      </c>
      <c r="C11" s="25" t="s">
        <v>351</v>
      </c>
      <c r="D11" s="25" t="s">
        <v>352</v>
      </c>
      <c r="E11" s="37" t="s">
        <v>30</v>
      </c>
      <c r="F11" s="26" t="s">
        <v>7</v>
      </c>
      <c r="G11" s="27"/>
      <c r="H11" s="25" t="s">
        <v>353</v>
      </c>
    </row>
    <row r="12" spans="1:26" ht="96.75" customHeight="1" x14ac:dyDescent="0.3">
      <c r="A12" s="26" t="s">
        <v>354</v>
      </c>
      <c r="B12" s="25" t="s">
        <v>189</v>
      </c>
      <c r="C12" s="25" t="s">
        <v>355</v>
      </c>
      <c r="D12" s="25" t="s">
        <v>356</v>
      </c>
      <c r="E12" s="37" t="s">
        <v>30</v>
      </c>
      <c r="F12" s="26" t="s">
        <v>7</v>
      </c>
      <c r="G12" s="27"/>
      <c r="H12" s="25"/>
    </row>
    <row r="13" spans="1:26" ht="84" customHeight="1" x14ac:dyDescent="0.3">
      <c r="A13" s="26" t="s">
        <v>357</v>
      </c>
      <c r="B13" s="25" t="s">
        <v>190</v>
      </c>
      <c r="C13" s="25" t="s">
        <v>358</v>
      </c>
      <c r="D13" s="25" t="s">
        <v>359</v>
      </c>
      <c r="E13" s="37" t="s">
        <v>30</v>
      </c>
      <c r="F13" s="26" t="s">
        <v>7</v>
      </c>
      <c r="G13" s="27"/>
      <c r="H13" s="25" t="s">
        <v>360</v>
      </c>
    </row>
    <row r="14" spans="1:26" ht="162" customHeight="1" x14ac:dyDescent="0.3">
      <c r="A14" s="26" t="s">
        <v>361</v>
      </c>
      <c r="B14" s="25" t="s">
        <v>192</v>
      </c>
      <c r="C14" s="25" t="s">
        <v>362</v>
      </c>
      <c r="D14" s="25" t="s">
        <v>363</v>
      </c>
      <c r="E14" s="37" t="s">
        <v>22</v>
      </c>
      <c r="F14" s="26" t="s">
        <v>7</v>
      </c>
      <c r="G14" s="27"/>
      <c r="H14" s="25" t="s">
        <v>364</v>
      </c>
    </row>
    <row r="15" spans="1:26" ht="148.5" customHeight="1" x14ac:dyDescent="0.3">
      <c r="A15" s="26" t="s">
        <v>365</v>
      </c>
      <c r="B15" s="25" t="s">
        <v>193</v>
      </c>
      <c r="C15" s="25" t="s">
        <v>366</v>
      </c>
      <c r="D15" s="25" t="s">
        <v>367</v>
      </c>
      <c r="E15" s="37" t="s">
        <v>361</v>
      </c>
      <c r="F15" s="26" t="s">
        <v>7</v>
      </c>
      <c r="G15" s="27"/>
      <c r="H15" s="25" t="s">
        <v>368</v>
      </c>
    </row>
    <row r="16" spans="1:26" ht="162" customHeight="1" x14ac:dyDescent="0.3">
      <c r="A16" s="26" t="s">
        <v>369</v>
      </c>
      <c r="B16" s="25" t="s">
        <v>194</v>
      </c>
      <c r="C16" s="25" t="s">
        <v>370</v>
      </c>
      <c r="D16" s="25" t="s">
        <v>371</v>
      </c>
      <c r="E16" s="37" t="s">
        <v>361</v>
      </c>
      <c r="F16" s="26" t="s">
        <v>7</v>
      </c>
      <c r="G16" s="27"/>
      <c r="H16" s="25" t="s">
        <v>372</v>
      </c>
    </row>
    <row r="17" spans="1:8" ht="123" customHeight="1" x14ac:dyDescent="0.3">
      <c r="A17" s="26" t="s">
        <v>373</v>
      </c>
      <c r="B17" s="25" t="s">
        <v>195</v>
      </c>
      <c r="C17" s="25" t="s">
        <v>374</v>
      </c>
      <c r="D17" s="25" t="s">
        <v>375</v>
      </c>
      <c r="E17" s="37" t="s">
        <v>30</v>
      </c>
      <c r="F17" s="26" t="s">
        <v>7</v>
      </c>
      <c r="G17" s="27"/>
      <c r="H17" s="25" t="s">
        <v>376</v>
      </c>
    </row>
    <row r="18" spans="1:8" ht="162" customHeight="1" x14ac:dyDescent="0.3">
      <c r="A18" s="26" t="s">
        <v>377</v>
      </c>
      <c r="B18" s="25" t="s">
        <v>197</v>
      </c>
      <c r="C18" s="25" t="s">
        <v>378</v>
      </c>
      <c r="D18" s="25" t="s">
        <v>379</v>
      </c>
      <c r="E18" s="37" t="s">
        <v>22</v>
      </c>
      <c r="F18" s="26" t="s">
        <v>7</v>
      </c>
      <c r="G18" s="27"/>
      <c r="H18" s="25"/>
    </row>
    <row r="19" spans="1:8" ht="123" customHeight="1" x14ac:dyDescent="0.3">
      <c r="A19" s="26" t="s">
        <v>380</v>
      </c>
      <c r="B19" s="25" t="s">
        <v>198</v>
      </c>
      <c r="C19" s="25" t="s">
        <v>381</v>
      </c>
      <c r="D19" s="25" t="s">
        <v>382</v>
      </c>
      <c r="E19" s="37" t="s">
        <v>30</v>
      </c>
      <c r="F19" s="26" t="s">
        <v>7</v>
      </c>
      <c r="G19" s="27"/>
      <c r="H19" s="25" t="s">
        <v>383</v>
      </c>
    </row>
    <row r="20" spans="1:8" ht="187.5" customHeight="1" x14ac:dyDescent="0.3">
      <c r="A20" s="26" t="s">
        <v>384</v>
      </c>
      <c r="B20" s="25" t="s">
        <v>199</v>
      </c>
      <c r="C20" s="25" t="s">
        <v>385</v>
      </c>
      <c r="D20" s="25" t="s">
        <v>386</v>
      </c>
      <c r="E20" s="37" t="s">
        <v>22</v>
      </c>
      <c r="F20" s="26" t="s">
        <v>7</v>
      </c>
      <c r="G20" s="27"/>
      <c r="H20" s="25"/>
    </row>
    <row r="21" spans="1:8" ht="148.5" customHeight="1" x14ac:dyDescent="0.3">
      <c r="A21" s="26" t="s">
        <v>387</v>
      </c>
      <c r="B21" s="25" t="s">
        <v>200</v>
      </c>
      <c r="C21" s="25" t="s">
        <v>388</v>
      </c>
      <c r="D21" s="25" t="s">
        <v>389</v>
      </c>
      <c r="E21" s="37" t="s">
        <v>22</v>
      </c>
      <c r="F21" s="26" t="s">
        <v>7</v>
      </c>
      <c r="G21" s="27"/>
      <c r="H21" s="25" t="s">
        <v>390</v>
      </c>
    </row>
    <row r="22" spans="1:8" ht="148.5" customHeight="1" x14ac:dyDescent="0.3">
      <c r="A22" s="26" t="s">
        <v>391</v>
      </c>
      <c r="B22" s="25" t="s">
        <v>201</v>
      </c>
      <c r="C22" s="25" t="s">
        <v>392</v>
      </c>
      <c r="D22" s="25" t="s">
        <v>393</v>
      </c>
      <c r="E22" s="37" t="s">
        <v>22</v>
      </c>
      <c r="F22" s="26" t="s">
        <v>7</v>
      </c>
      <c r="G22" s="27"/>
      <c r="H22" s="25" t="s">
        <v>394</v>
      </c>
    </row>
    <row r="23" spans="1:8" ht="135.75" customHeight="1" x14ac:dyDescent="0.3">
      <c r="A23" s="26" t="s">
        <v>395</v>
      </c>
      <c r="B23" s="25" t="s">
        <v>202</v>
      </c>
      <c r="C23" s="25" t="s">
        <v>396</v>
      </c>
      <c r="D23" s="25" t="s">
        <v>397</v>
      </c>
      <c r="E23" s="37" t="s">
        <v>22</v>
      </c>
      <c r="F23" s="26" t="s">
        <v>7</v>
      </c>
      <c r="G23" s="27"/>
      <c r="H23" s="25" t="s">
        <v>398</v>
      </c>
    </row>
    <row r="24" spans="1:8" ht="162" customHeight="1" x14ac:dyDescent="0.3">
      <c r="A24" s="26" t="s">
        <v>399</v>
      </c>
      <c r="B24" s="25" t="s">
        <v>203</v>
      </c>
      <c r="C24" s="25" t="s">
        <v>400</v>
      </c>
      <c r="D24" s="25" t="s">
        <v>401</v>
      </c>
      <c r="E24" s="37" t="s">
        <v>22</v>
      </c>
      <c r="F24" s="26" t="s">
        <v>7</v>
      </c>
      <c r="G24" s="27"/>
      <c r="H24" s="25" t="s">
        <v>402</v>
      </c>
    </row>
    <row r="25" spans="1:8" ht="187.5" customHeight="1" x14ac:dyDescent="0.3">
      <c r="A25" s="26" t="s">
        <v>403</v>
      </c>
      <c r="B25" s="25" t="s">
        <v>204</v>
      </c>
      <c r="C25" s="25" t="s">
        <v>404</v>
      </c>
      <c r="D25" s="25" t="s">
        <v>405</v>
      </c>
      <c r="E25" s="37" t="s">
        <v>22</v>
      </c>
      <c r="F25" s="26" t="s">
        <v>7</v>
      </c>
      <c r="G25" s="27"/>
      <c r="H25" s="25" t="s">
        <v>406</v>
      </c>
    </row>
    <row r="26" spans="1:8" ht="213.75" customHeight="1" x14ac:dyDescent="0.3">
      <c r="A26" s="26" t="s">
        <v>407</v>
      </c>
      <c r="B26" s="25" t="s">
        <v>205</v>
      </c>
      <c r="C26" s="25" t="s">
        <v>408</v>
      </c>
      <c r="D26" s="25" t="s">
        <v>409</v>
      </c>
      <c r="E26" s="37" t="s">
        <v>22</v>
      </c>
      <c r="F26" s="26" t="s">
        <v>7</v>
      </c>
      <c r="G26" s="27"/>
      <c r="H26" s="25" t="s">
        <v>410</v>
      </c>
    </row>
    <row r="27" spans="1:8" ht="148.5" customHeight="1" x14ac:dyDescent="0.3">
      <c r="A27" s="26" t="s">
        <v>411</v>
      </c>
      <c r="B27" s="25" t="s">
        <v>206</v>
      </c>
      <c r="C27" s="25" t="s">
        <v>412</v>
      </c>
      <c r="D27" s="25" t="s">
        <v>413</v>
      </c>
      <c r="E27" s="37" t="s">
        <v>22</v>
      </c>
      <c r="F27" s="26" t="s">
        <v>7</v>
      </c>
      <c r="G27" s="27"/>
      <c r="H27" s="25" t="s">
        <v>414</v>
      </c>
    </row>
    <row r="28" spans="1:8" ht="162" customHeight="1" x14ac:dyDescent="0.3">
      <c r="A28" s="26" t="s">
        <v>415</v>
      </c>
      <c r="B28" s="25" t="s">
        <v>207</v>
      </c>
      <c r="C28" s="25" t="s">
        <v>416</v>
      </c>
      <c r="D28" s="25" t="s">
        <v>417</v>
      </c>
      <c r="E28" s="37" t="s">
        <v>22</v>
      </c>
      <c r="F28" s="26" t="s">
        <v>7</v>
      </c>
      <c r="G28" s="27"/>
      <c r="H28" s="25" t="s">
        <v>418</v>
      </c>
    </row>
    <row r="29" spans="1:8" ht="162" customHeight="1" x14ac:dyDescent="0.3">
      <c r="A29" s="26" t="s">
        <v>419</v>
      </c>
      <c r="B29" s="25" t="s">
        <v>208</v>
      </c>
      <c r="C29" s="25" t="s">
        <v>420</v>
      </c>
      <c r="D29" s="25" t="s">
        <v>421</v>
      </c>
      <c r="E29" s="37" t="s">
        <v>22</v>
      </c>
      <c r="F29" s="26" t="s">
        <v>7</v>
      </c>
      <c r="G29" s="27"/>
      <c r="H29" s="25" t="s">
        <v>422</v>
      </c>
    </row>
    <row r="30" spans="1:8" ht="162" customHeight="1" x14ac:dyDescent="0.3">
      <c r="A30" s="26" t="s">
        <v>423</v>
      </c>
      <c r="B30" s="25" t="s">
        <v>209</v>
      </c>
      <c r="C30" s="25" t="s">
        <v>424</v>
      </c>
      <c r="D30" s="25" t="s">
        <v>425</v>
      </c>
      <c r="E30" s="37" t="s">
        <v>22</v>
      </c>
      <c r="F30" s="26" t="s">
        <v>7</v>
      </c>
      <c r="G30" s="27"/>
      <c r="H30" s="25" t="s">
        <v>402</v>
      </c>
    </row>
    <row r="31" spans="1:8" ht="148.5" customHeight="1" x14ac:dyDescent="0.3">
      <c r="A31" s="26" t="s">
        <v>426</v>
      </c>
      <c r="B31" s="25" t="s">
        <v>210</v>
      </c>
      <c r="C31" s="25" t="s">
        <v>427</v>
      </c>
      <c r="D31" s="25" t="s">
        <v>428</v>
      </c>
      <c r="E31" s="37" t="s">
        <v>423</v>
      </c>
      <c r="F31" s="26" t="s">
        <v>7</v>
      </c>
      <c r="G31" s="27"/>
      <c r="H31" s="25"/>
    </row>
    <row r="32" spans="1:8" ht="187.5" customHeight="1" x14ac:dyDescent="0.3">
      <c r="A32" s="26" t="s">
        <v>429</v>
      </c>
      <c r="B32" s="25" t="s">
        <v>211</v>
      </c>
      <c r="C32" s="25" t="s">
        <v>430</v>
      </c>
      <c r="D32" s="25" t="s">
        <v>431</v>
      </c>
      <c r="E32" s="37" t="s">
        <v>22</v>
      </c>
      <c r="F32" s="26" t="s">
        <v>7</v>
      </c>
      <c r="G32" s="27"/>
      <c r="H32" s="25" t="s">
        <v>432</v>
      </c>
    </row>
    <row r="33" spans="1:8" ht="174.75" customHeight="1" x14ac:dyDescent="0.3">
      <c r="A33" s="26" t="s">
        <v>433</v>
      </c>
      <c r="B33" s="25" t="s">
        <v>212</v>
      </c>
      <c r="C33" s="25" t="s">
        <v>434</v>
      </c>
      <c r="D33" s="25" t="s">
        <v>435</v>
      </c>
      <c r="E33" s="37" t="s">
        <v>22</v>
      </c>
      <c r="F33" s="26" t="s">
        <v>7</v>
      </c>
      <c r="G33" s="27"/>
      <c r="H33" s="25" t="s">
        <v>436</v>
      </c>
    </row>
    <row r="34" spans="1:8" ht="174.75" customHeight="1" x14ac:dyDescent="0.3">
      <c r="A34" s="26" t="s">
        <v>437</v>
      </c>
      <c r="B34" s="25" t="s">
        <v>213</v>
      </c>
      <c r="C34" s="25" t="s">
        <v>438</v>
      </c>
      <c r="D34" s="25" t="s">
        <v>439</v>
      </c>
      <c r="E34" s="37" t="s">
        <v>22</v>
      </c>
      <c r="F34" s="26" t="s">
        <v>7</v>
      </c>
      <c r="G34" s="27"/>
      <c r="H34" s="25" t="s">
        <v>440</v>
      </c>
    </row>
    <row r="35" spans="1:8" ht="162" customHeight="1" x14ac:dyDescent="0.3">
      <c r="A35" s="26" t="s">
        <v>441</v>
      </c>
      <c r="B35" s="25" t="s">
        <v>214</v>
      </c>
      <c r="C35" s="25" t="s">
        <v>442</v>
      </c>
      <c r="D35" s="25" t="s">
        <v>443</v>
      </c>
      <c r="E35" s="37" t="s">
        <v>22</v>
      </c>
      <c r="F35" s="26" t="s">
        <v>7</v>
      </c>
      <c r="G35" s="27"/>
      <c r="H35" s="25"/>
    </row>
    <row r="36" spans="1:8" ht="174.75" customHeight="1" x14ac:dyDescent="0.3">
      <c r="A36" s="26" t="s">
        <v>444</v>
      </c>
      <c r="B36" s="25" t="s">
        <v>216</v>
      </c>
      <c r="C36" s="25" t="s">
        <v>445</v>
      </c>
      <c r="D36" s="25" t="s">
        <v>446</v>
      </c>
      <c r="E36" s="37" t="s">
        <v>22</v>
      </c>
      <c r="F36" s="26" t="s">
        <v>7</v>
      </c>
      <c r="G36" s="27"/>
      <c r="H36" s="25" t="s">
        <v>447</v>
      </c>
    </row>
    <row r="37" spans="1:8" ht="84" customHeight="1" x14ac:dyDescent="0.3">
      <c r="A37" s="26" t="s">
        <v>448</v>
      </c>
      <c r="B37" s="25" t="s">
        <v>217</v>
      </c>
      <c r="C37" s="25" t="s">
        <v>449</v>
      </c>
      <c r="D37" s="25" t="s">
        <v>450</v>
      </c>
      <c r="E37" s="37" t="s">
        <v>22</v>
      </c>
      <c r="F37" s="26" t="s">
        <v>7</v>
      </c>
      <c r="G37" s="27"/>
      <c r="H37" s="25" t="s">
        <v>451</v>
      </c>
    </row>
    <row r="38" spans="1:8" ht="84" customHeight="1" x14ac:dyDescent="0.3">
      <c r="A38" s="26" t="s">
        <v>452</v>
      </c>
      <c r="B38" s="25" t="s">
        <v>218</v>
      </c>
      <c r="C38" s="25" t="s">
        <v>453</v>
      </c>
      <c r="D38" s="25" t="s">
        <v>454</v>
      </c>
      <c r="E38" s="37" t="s">
        <v>22</v>
      </c>
      <c r="F38" s="26" t="s">
        <v>7</v>
      </c>
      <c r="G38" s="27"/>
      <c r="H38" s="25" t="s">
        <v>455</v>
      </c>
    </row>
  </sheetData>
  <mergeCells count="5">
    <mergeCell ref="B2:H2"/>
    <mergeCell ref="B3:H3"/>
    <mergeCell ref="B4:H4"/>
    <mergeCell ref="F5:H5"/>
    <mergeCell ref="F6:H6"/>
  </mergeCells>
  <dataValidations count="1">
    <dataValidation type="list" allowBlank="1" showInputMessage="1" showErrorMessage="1" prompt=" - " sqref="F9:F600" xr:uid="{BF45BCF3-CEAD-40F0-9BBD-CFA68D525906}">
      <formula1>$J$2:$J$6</formula1>
      <formula2>0</formula2>
    </dataValidation>
  </dataValidations>
  <pageMargins left="0.7" right="0.7" top="0.75" bottom="0.75" header="0" footer="0"/>
  <pageSetup orientation="landscape" horizontalDpi="300" verticalDpi="300"/>
  <headerFooter>
    <oddHeader>&amp;LFacilitate_Test Case\Company&amp;Rv1.0</oddHeader>
    <oddFooter>&amp;L 02ae-BM/PM/HDCV/FSOFT v2/0&amp;CInternal use&amp;R&amp;P/</oddFooter>
  </headerFooter>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4AE35-55AB-4D01-9410-AF32F4A51011}">
  <dimension ref="A1:Z1000"/>
  <sheetViews>
    <sheetView tabSelected="1" zoomScaleNormal="100" workbookViewId="0">
      <selection activeCell="I21" sqref="I21"/>
    </sheetView>
  </sheetViews>
  <sheetFormatPr defaultColWidth="14.44140625" defaultRowHeight="14.4" x14ac:dyDescent="0.3"/>
  <cols>
    <col min="1" max="1" width="10.33203125" style="7" customWidth="1"/>
    <col min="2" max="2" width="15.44140625" style="7" customWidth="1"/>
    <col min="3" max="3" width="22.109375" style="7" customWidth="1"/>
    <col min="4" max="6" width="10.33203125" style="7" customWidth="1"/>
    <col min="7" max="7" width="22" style="7" customWidth="1"/>
    <col min="8" max="8" width="11.6640625" style="7" customWidth="1"/>
    <col min="9" max="9" width="30.109375" style="7" customWidth="1"/>
    <col min="10" max="26" width="9.109375" style="7" customWidth="1"/>
    <col min="27" max="16384" width="14.44140625" style="7"/>
  </cols>
  <sheetData>
    <row r="1" spans="1:26" ht="25.5" customHeight="1" x14ac:dyDescent="0.4">
      <c r="A1" s="38"/>
      <c r="B1" s="70" t="s">
        <v>456</v>
      </c>
      <c r="C1" s="70"/>
      <c r="D1" s="70"/>
      <c r="E1" s="70"/>
      <c r="F1" s="70"/>
      <c r="G1" s="70"/>
      <c r="H1" s="70"/>
      <c r="I1" s="38"/>
      <c r="J1" s="38"/>
      <c r="K1" s="38"/>
      <c r="L1" s="38"/>
      <c r="M1" s="38"/>
      <c r="N1" s="38"/>
      <c r="O1" s="38"/>
      <c r="P1" s="38"/>
      <c r="Q1" s="38"/>
      <c r="R1" s="38"/>
      <c r="S1" s="38"/>
      <c r="T1" s="38"/>
      <c r="U1" s="38"/>
      <c r="V1" s="38"/>
      <c r="W1" s="38"/>
      <c r="X1" s="38"/>
      <c r="Y1" s="38"/>
      <c r="Z1" s="38"/>
    </row>
    <row r="2" spans="1:26" ht="14.25" customHeight="1" x14ac:dyDescent="0.3">
      <c r="A2" s="39"/>
      <c r="B2" s="39"/>
      <c r="C2" s="38"/>
      <c r="D2" s="38"/>
      <c r="E2" s="38"/>
      <c r="F2" s="38"/>
      <c r="G2" s="38"/>
      <c r="H2" s="40"/>
      <c r="I2" s="38"/>
      <c r="J2" s="38"/>
      <c r="K2" s="38"/>
      <c r="L2" s="38"/>
      <c r="M2" s="38"/>
      <c r="N2" s="38"/>
      <c r="O2" s="38"/>
      <c r="P2" s="38"/>
      <c r="Q2" s="38"/>
      <c r="R2" s="38"/>
      <c r="S2" s="38"/>
      <c r="T2" s="38"/>
      <c r="U2" s="38"/>
      <c r="V2" s="38"/>
      <c r="W2" s="38"/>
      <c r="X2" s="38"/>
      <c r="Y2" s="38"/>
      <c r="Z2" s="38"/>
    </row>
    <row r="3" spans="1:26" ht="12" customHeight="1" x14ac:dyDescent="0.3">
      <c r="A3" s="38"/>
      <c r="B3" s="41" t="s">
        <v>457</v>
      </c>
      <c r="C3" s="71" t="str">
        <f>[1]Cover!C4</f>
        <v>Điện Máy Xanh Website</v>
      </c>
      <c r="D3" s="71"/>
      <c r="E3" s="72" t="s">
        <v>458</v>
      </c>
      <c r="F3" s="72"/>
      <c r="G3" s="42" t="s">
        <v>459</v>
      </c>
      <c r="H3" s="43"/>
      <c r="I3" s="38"/>
      <c r="J3" s="38"/>
      <c r="K3" s="38"/>
      <c r="L3" s="38"/>
      <c r="M3" s="38"/>
      <c r="N3" s="38"/>
      <c r="O3" s="38"/>
      <c r="P3" s="38"/>
      <c r="Q3" s="38"/>
      <c r="R3" s="38"/>
      <c r="S3" s="38"/>
      <c r="T3" s="38"/>
      <c r="U3" s="38"/>
      <c r="V3" s="38"/>
      <c r="W3" s="38"/>
      <c r="X3" s="38"/>
      <c r="Y3" s="38"/>
      <c r="Z3" s="38"/>
    </row>
    <row r="4" spans="1:26" ht="12" customHeight="1" x14ac:dyDescent="0.3">
      <c r="A4" s="38"/>
      <c r="B4" s="41" t="s">
        <v>460</v>
      </c>
      <c r="C4" s="71" t="str">
        <f>[1]Cover!C5</f>
        <v>DMX-WEB</v>
      </c>
      <c r="D4" s="71"/>
      <c r="E4" s="72" t="s">
        <v>461</v>
      </c>
      <c r="F4" s="72"/>
      <c r="G4" s="42" t="s">
        <v>462</v>
      </c>
      <c r="H4" s="43"/>
      <c r="I4" s="38"/>
      <c r="J4" s="38"/>
      <c r="K4" s="38"/>
      <c r="L4" s="38"/>
      <c r="M4" s="38"/>
      <c r="N4" s="38"/>
      <c r="O4" s="38"/>
      <c r="P4" s="38"/>
      <c r="Q4" s="38"/>
      <c r="R4" s="38"/>
      <c r="S4" s="38"/>
      <c r="T4" s="38"/>
      <c r="U4" s="38"/>
      <c r="V4" s="38"/>
      <c r="W4" s="38"/>
      <c r="X4" s="38"/>
      <c r="Y4" s="38"/>
      <c r="Z4" s="38"/>
    </row>
    <row r="5" spans="1:26" ht="12" customHeight="1" x14ac:dyDescent="0.3">
      <c r="A5" s="38"/>
      <c r="B5" s="44" t="s">
        <v>463</v>
      </c>
      <c r="C5" s="71" t="str">
        <f>C4&amp;"_"&amp;"Test Report"&amp;"_"&amp;"v0.1"</f>
        <v>DMX-WEB_Test Report_v0.1</v>
      </c>
      <c r="D5" s="71"/>
      <c r="E5" s="72" t="s">
        <v>464</v>
      </c>
      <c r="F5" s="72"/>
      <c r="G5" s="45">
        <v>46315</v>
      </c>
      <c r="H5" s="46"/>
      <c r="I5" s="38"/>
      <c r="J5" s="38"/>
      <c r="K5" s="38"/>
      <c r="L5" s="38"/>
      <c r="M5" s="38"/>
      <c r="N5" s="38"/>
      <c r="O5" s="38"/>
      <c r="P5" s="38"/>
      <c r="Q5" s="38"/>
      <c r="R5" s="38"/>
      <c r="S5" s="38"/>
      <c r="T5" s="38"/>
      <c r="U5" s="38"/>
      <c r="V5" s="38"/>
      <c r="W5" s="38"/>
      <c r="X5" s="38"/>
      <c r="Y5" s="38"/>
      <c r="Z5" s="38"/>
    </row>
    <row r="6" spans="1:26" ht="57.75" customHeight="1" x14ac:dyDescent="0.3">
      <c r="A6" s="39"/>
      <c r="B6" s="44" t="s">
        <v>465</v>
      </c>
      <c r="C6" s="69" t="s">
        <v>475</v>
      </c>
      <c r="D6" s="69"/>
      <c r="E6" s="69"/>
      <c r="F6" s="69"/>
      <c r="G6" s="69"/>
      <c r="H6" s="69"/>
      <c r="I6" s="38"/>
      <c r="J6" s="38"/>
      <c r="K6" s="38"/>
      <c r="L6" s="38"/>
      <c r="M6" s="38"/>
      <c r="N6" s="38"/>
      <c r="O6" s="38"/>
      <c r="P6" s="38"/>
      <c r="Q6" s="38"/>
      <c r="R6" s="38"/>
      <c r="S6" s="38"/>
      <c r="T6" s="38"/>
      <c r="U6" s="38"/>
      <c r="V6" s="38"/>
      <c r="W6" s="38"/>
      <c r="X6" s="38"/>
      <c r="Y6" s="38"/>
      <c r="Z6" s="38"/>
    </row>
    <row r="7" spans="1:26" ht="14.25" customHeight="1" x14ac:dyDescent="0.3">
      <c r="A7" s="39"/>
      <c r="B7" s="47"/>
      <c r="C7" s="48"/>
      <c r="D7" s="38"/>
      <c r="E7" s="38"/>
      <c r="F7" s="38"/>
      <c r="G7" s="38"/>
      <c r="H7" s="40"/>
      <c r="I7" s="38"/>
      <c r="J7" s="38"/>
      <c r="K7" s="38"/>
      <c r="L7" s="38"/>
      <c r="M7" s="38"/>
      <c r="N7" s="38"/>
      <c r="O7" s="38"/>
      <c r="P7" s="38"/>
      <c r="Q7" s="38"/>
      <c r="R7" s="38"/>
      <c r="S7" s="38"/>
      <c r="T7" s="38"/>
      <c r="U7" s="38"/>
      <c r="V7" s="38"/>
      <c r="W7" s="38"/>
      <c r="X7" s="38"/>
      <c r="Y7" s="38"/>
      <c r="Z7" s="38"/>
    </row>
    <row r="8" spans="1:26" ht="12.75" customHeight="1" x14ac:dyDescent="0.3">
      <c r="A8" s="38"/>
      <c r="B8" s="47"/>
      <c r="C8" s="48"/>
      <c r="D8" s="38"/>
      <c r="E8" s="38"/>
      <c r="F8" s="38"/>
      <c r="G8" s="38"/>
      <c r="H8" s="40"/>
      <c r="I8" s="38"/>
      <c r="J8" s="38"/>
      <c r="K8" s="38"/>
      <c r="L8" s="38"/>
      <c r="M8" s="38"/>
      <c r="N8" s="38"/>
      <c r="O8" s="38"/>
      <c r="P8" s="38"/>
      <c r="Q8" s="38"/>
      <c r="R8" s="38"/>
      <c r="S8" s="38"/>
      <c r="T8" s="38"/>
      <c r="U8" s="38"/>
      <c r="V8" s="38"/>
      <c r="W8" s="38"/>
      <c r="X8" s="38"/>
      <c r="Y8" s="38"/>
      <c r="Z8" s="38"/>
    </row>
    <row r="9" spans="1:26" ht="12.75" customHeight="1" x14ac:dyDescent="0.3">
      <c r="A9" s="38"/>
      <c r="B9" s="38"/>
      <c r="C9" s="38"/>
      <c r="D9" s="38"/>
      <c r="E9" s="38"/>
      <c r="F9" s="38"/>
      <c r="G9" s="38"/>
      <c r="H9" s="38"/>
      <c r="I9" s="38"/>
      <c r="J9" s="38"/>
      <c r="K9" s="38"/>
      <c r="L9" s="38"/>
      <c r="M9" s="38"/>
      <c r="N9" s="38"/>
      <c r="O9" s="38"/>
      <c r="P9" s="38"/>
      <c r="Q9" s="38"/>
      <c r="R9" s="38"/>
      <c r="S9" s="38"/>
      <c r="T9" s="38"/>
      <c r="U9" s="38"/>
      <c r="V9" s="38"/>
      <c r="W9" s="38"/>
      <c r="X9" s="38"/>
      <c r="Y9" s="38"/>
      <c r="Z9" s="38"/>
    </row>
    <row r="10" spans="1:26" ht="12.75" customHeight="1" x14ac:dyDescent="0.3">
      <c r="A10" s="49"/>
      <c r="B10" s="50" t="s">
        <v>466</v>
      </c>
      <c r="C10" s="51" t="s">
        <v>467</v>
      </c>
      <c r="D10" s="52" t="s">
        <v>468</v>
      </c>
      <c r="E10" s="51" t="s">
        <v>469</v>
      </c>
      <c r="F10" s="51" t="s">
        <v>7</v>
      </c>
      <c r="G10" s="53" t="s">
        <v>6</v>
      </c>
      <c r="H10" s="54" t="s">
        <v>8</v>
      </c>
      <c r="I10" s="54" t="s">
        <v>470</v>
      </c>
      <c r="J10" s="38"/>
      <c r="K10" s="38"/>
      <c r="L10" s="38"/>
      <c r="M10" s="38"/>
      <c r="N10" s="38"/>
      <c r="O10" s="38"/>
      <c r="P10" s="38"/>
      <c r="Q10" s="38"/>
      <c r="R10" s="38"/>
      <c r="S10" s="38"/>
      <c r="T10" s="38"/>
      <c r="U10" s="38"/>
      <c r="V10" s="38"/>
      <c r="W10" s="38"/>
      <c r="X10" s="38"/>
      <c r="Y10" s="38"/>
      <c r="Z10" s="38"/>
    </row>
    <row r="11" spans="1:26" ht="12.75" customHeight="1" x14ac:dyDescent="0.3">
      <c r="A11" s="49"/>
      <c r="B11" s="55">
        <v>1</v>
      </c>
      <c r="C11" s="56" t="str">
        <f>[1]Voucher!B2</f>
        <v>Voucher và Mã giảm giá</v>
      </c>
      <c r="D11" s="57">
        <f>[1]Voucher!A6</f>
        <v>24</v>
      </c>
      <c r="E11" s="57">
        <f>[1]Voucher!B6</f>
        <v>3</v>
      </c>
      <c r="F11" s="57">
        <f>[1]Voucher!C6</f>
        <v>0</v>
      </c>
      <c r="G11" s="58">
        <f>[1]Voucher!D6</f>
        <v>0</v>
      </c>
      <c r="H11" s="58">
        <f>[1]Voucher!E6</f>
        <v>2</v>
      </c>
      <c r="I11" s="59">
        <f>[1]Voucher!F6</f>
        <v>29</v>
      </c>
      <c r="J11" s="38"/>
      <c r="K11" s="38"/>
      <c r="L11" s="38"/>
      <c r="M11" s="38"/>
      <c r="N11" s="38"/>
      <c r="O11" s="38"/>
      <c r="P11" s="38"/>
      <c r="Q11" s="38"/>
      <c r="R11" s="38"/>
      <c r="S11" s="38"/>
      <c r="T11" s="38"/>
      <c r="U11" s="38"/>
      <c r="V11" s="38"/>
      <c r="W11" s="38"/>
      <c r="X11" s="38"/>
      <c r="Y11" s="38"/>
      <c r="Z11" s="38"/>
    </row>
    <row r="12" spans="1:26" ht="12.75" customHeight="1" x14ac:dyDescent="0.3">
      <c r="A12" s="49"/>
      <c r="B12" s="55">
        <v>2</v>
      </c>
      <c r="C12" s="56" t="str">
        <f>'[1]Order Management'!B2</f>
        <v>Order</v>
      </c>
      <c r="D12" s="57">
        <f>'[1]Order Management'!A6</f>
        <v>0</v>
      </c>
      <c r="E12" s="57">
        <f>'[1]Order Management'!B6</f>
        <v>0</v>
      </c>
      <c r="F12" s="57">
        <f>'[1]Order Management'!C6</f>
        <v>30</v>
      </c>
      <c r="G12" s="58">
        <f>'[1]Order Management'!D6</f>
        <v>0</v>
      </c>
      <c r="H12" s="58">
        <f>'[1]Order Management'!E6</f>
        <v>0</v>
      </c>
      <c r="I12" s="59">
        <f>'[1]Order Management'!F6</f>
        <v>30</v>
      </c>
      <c r="J12" s="38"/>
      <c r="K12" s="38"/>
      <c r="L12" s="38"/>
      <c r="M12" s="38"/>
      <c r="N12" s="38"/>
      <c r="O12" s="38"/>
      <c r="P12" s="38"/>
      <c r="Q12" s="38"/>
      <c r="R12" s="38"/>
      <c r="S12" s="38"/>
      <c r="T12" s="38"/>
      <c r="U12" s="38"/>
      <c r="V12" s="38"/>
      <c r="W12" s="38"/>
      <c r="X12" s="38"/>
      <c r="Y12" s="38"/>
      <c r="Z12" s="38"/>
    </row>
    <row r="13" spans="1:26" ht="12.75" customHeight="1" x14ac:dyDescent="0.3">
      <c r="A13" s="49"/>
      <c r="B13" s="55">
        <v>3</v>
      </c>
      <c r="C13" s="56" t="str">
        <f>[1]Review!B2</f>
        <v>Review</v>
      </c>
      <c r="D13" s="57">
        <f>[1]Review!A6</f>
        <v>0</v>
      </c>
      <c r="E13" s="57">
        <f>[1]Review!B6</f>
        <v>0</v>
      </c>
      <c r="F13" s="57">
        <f>[1]Review!C6</f>
        <v>30</v>
      </c>
      <c r="G13" s="57">
        <f>[1]Review!D6</f>
        <v>0</v>
      </c>
      <c r="H13" s="57">
        <f>[1]Review!E6</f>
        <v>0</v>
      </c>
      <c r="I13" s="59">
        <f>[1]Review!F6</f>
        <v>30</v>
      </c>
      <c r="J13" s="38"/>
      <c r="K13" s="38"/>
      <c r="L13" s="38"/>
      <c r="M13" s="38"/>
      <c r="N13" s="38"/>
      <c r="O13" s="38"/>
      <c r="P13" s="38"/>
      <c r="Q13" s="38"/>
      <c r="R13" s="38"/>
      <c r="S13" s="38"/>
      <c r="T13" s="38"/>
      <c r="U13" s="38"/>
      <c r="V13" s="38"/>
      <c r="W13" s="38"/>
      <c r="X13" s="38"/>
      <c r="Y13" s="38"/>
      <c r="Z13" s="38"/>
    </row>
    <row r="14" spans="1:26" ht="12.75" customHeight="1" x14ac:dyDescent="0.3">
      <c r="A14" s="49"/>
      <c r="B14" s="55"/>
      <c r="C14" s="56"/>
      <c r="D14" s="57"/>
      <c r="E14" s="57"/>
      <c r="F14" s="57"/>
      <c r="G14" s="58"/>
      <c r="H14" s="58"/>
      <c r="I14" s="59"/>
      <c r="J14" s="38"/>
      <c r="K14" s="38"/>
      <c r="L14" s="38"/>
      <c r="M14" s="38"/>
      <c r="N14" s="38"/>
      <c r="O14" s="38"/>
      <c r="P14" s="38"/>
      <c r="Q14" s="38"/>
      <c r="R14" s="38"/>
      <c r="S14" s="38"/>
      <c r="T14" s="38"/>
      <c r="U14" s="38"/>
      <c r="V14" s="38"/>
      <c r="W14" s="38"/>
      <c r="X14" s="38"/>
      <c r="Y14" s="38"/>
      <c r="Z14" s="38"/>
    </row>
    <row r="15" spans="1:26" ht="12.75" customHeight="1" x14ac:dyDescent="0.3">
      <c r="A15" s="49"/>
      <c r="B15" s="60"/>
      <c r="C15" s="61" t="s">
        <v>471</v>
      </c>
      <c r="D15" s="62">
        <f t="shared" ref="D15:I15" si="0">SUM(D9:D14)</f>
        <v>24</v>
      </c>
      <c r="E15" s="62">
        <f t="shared" si="0"/>
        <v>3</v>
      </c>
      <c r="F15" s="62">
        <f t="shared" si="0"/>
        <v>60</v>
      </c>
      <c r="G15" s="62">
        <f t="shared" si="0"/>
        <v>0</v>
      </c>
      <c r="H15" s="63">
        <f t="shared" si="0"/>
        <v>2</v>
      </c>
      <c r="I15" s="63">
        <f t="shared" si="0"/>
        <v>89</v>
      </c>
      <c r="J15" s="38"/>
      <c r="K15" s="38"/>
      <c r="L15" s="38"/>
      <c r="M15" s="38"/>
      <c r="N15" s="38"/>
      <c r="O15" s="38"/>
      <c r="P15" s="38"/>
      <c r="Q15" s="38"/>
      <c r="R15" s="38"/>
      <c r="S15" s="38"/>
      <c r="T15" s="38"/>
      <c r="U15" s="38"/>
      <c r="V15" s="38"/>
      <c r="W15" s="38"/>
      <c r="X15" s="38"/>
      <c r="Y15" s="38"/>
      <c r="Z15" s="38"/>
    </row>
    <row r="16" spans="1:26" ht="12.75" customHeight="1" x14ac:dyDescent="0.3">
      <c r="A16" s="38"/>
      <c r="B16" s="64"/>
      <c r="C16" s="38"/>
      <c r="D16" s="65"/>
      <c r="E16" s="66"/>
      <c r="F16" s="66"/>
      <c r="G16" s="66"/>
      <c r="H16" s="66"/>
      <c r="I16" s="38"/>
      <c r="J16" s="38"/>
      <c r="K16" s="38"/>
      <c r="L16" s="38"/>
      <c r="M16" s="38"/>
      <c r="N16" s="38"/>
      <c r="O16" s="38"/>
      <c r="P16" s="38"/>
      <c r="Q16" s="38"/>
      <c r="R16" s="38"/>
      <c r="S16" s="38"/>
      <c r="T16" s="38"/>
      <c r="U16" s="38"/>
      <c r="V16" s="38"/>
      <c r="W16" s="38"/>
      <c r="X16" s="38"/>
      <c r="Y16" s="38"/>
      <c r="Z16" s="38"/>
    </row>
    <row r="17" spans="1:26" ht="12.75" customHeight="1" x14ac:dyDescent="0.3">
      <c r="A17" s="38"/>
      <c r="B17" s="38"/>
      <c r="C17" s="67" t="s">
        <v>472</v>
      </c>
      <c r="D17" s="38"/>
      <c r="E17" s="68">
        <f>IFERROR((D15+E15)*100/(I15-H15-G15),0)</f>
        <v>31.03448275862069</v>
      </c>
      <c r="F17" s="38" t="s">
        <v>473</v>
      </c>
      <c r="G17" s="38"/>
      <c r="H17" s="17"/>
      <c r="I17" s="38"/>
      <c r="J17" s="38"/>
      <c r="K17" s="38"/>
      <c r="L17" s="38"/>
      <c r="M17" s="38"/>
      <c r="N17" s="38"/>
      <c r="O17" s="38"/>
      <c r="P17" s="38"/>
      <c r="Q17" s="38"/>
      <c r="R17" s="38"/>
      <c r="S17" s="38"/>
      <c r="T17" s="38"/>
      <c r="U17" s="38"/>
      <c r="V17" s="38"/>
      <c r="W17" s="38"/>
      <c r="X17" s="38"/>
      <c r="Y17" s="38"/>
      <c r="Z17" s="38"/>
    </row>
    <row r="18" spans="1:26" ht="12.75" customHeight="1" x14ac:dyDescent="0.3">
      <c r="A18" s="38"/>
      <c r="B18" s="38"/>
      <c r="C18" s="67" t="s">
        <v>474</v>
      </c>
      <c r="D18" s="38"/>
      <c r="E18" s="68">
        <f>IFERROR(D15*100/(D15+E15),0)</f>
        <v>88.888888888888886</v>
      </c>
      <c r="F18" s="38" t="s">
        <v>473</v>
      </c>
      <c r="G18" s="38"/>
      <c r="H18" s="17"/>
      <c r="I18" s="38"/>
      <c r="J18" s="38"/>
      <c r="K18" s="38"/>
      <c r="L18" s="38"/>
      <c r="M18" s="38"/>
      <c r="N18" s="38"/>
      <c r="O18" s="38"/>
      <c r="P18" s="38"/>
      <c r="Q18" s="38"/>
      <c r="R18" s="38"/>
      <c r="S18" s="38"/>
      <c r="T18" s="38"/>
      <c r="U18" s="38"/>
      <c r="V18" s="38"/>
      <c r="W18" s="38"/>
      <c r="X18" s="38"/>
      <c r="Y18" s="38"/>
      <c r="Z18" s="38"/>
    </row>
    <row r="19" spans="1:26" ht="12.75" customHeight="1" x14ac:dyDescent="0.3">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row>
    <row r="20" spans="1:26" ht="12.75" customHeight="1" x14ac:dyDescent="0.3">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row>
    <row r="21" spans="1:26" ht="12.75" customHeight="1" x14ac:dyDescent="0.3">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row>
    <row r="22" spans="1:26" ht="12.75" customHeight="1" x14ac:dyDescent="0.3">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row>
    <row r="23" spans="1:26" ht="12.75" customHeight="1" x14ac:dyDescent="0.3">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row>
    <row r="24" spans="1:26" ht="12.75" customHeight="1" x14ac:dyDescent="0.3">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row>
    <row r="25" spans="1:26" ht="12.75" customHeight="1" x14ac:dyDescent="0.3">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row>
    <row r="26" spans="1:26" ht="12.75" customHeight="1" x14ac:dyDescent="0.3">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ht="12.75" customHeight="1" x14ac:dyDescent="0.3">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spans="1:26" ht="12.75" customHeight="1" x14ac:dyDescent="0.3">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row>
    <row r="29" spans="1:26" ht="12.75" customHeight="1" x14ac:dyDescent="0.3">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2.75" customHeight="1" x14ac:dyDescent="0.3">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2.75" customHeight="1" x14ac:dyDescent="0.3">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2.75" customHeight="1" x14ac:dyDescent="0.3">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2.75" customHeight="1" x14ac:dyDescent="0.3">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ht="12.75" customHeight="1" x14ac:dyDescent="0.3">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2.75" customHeight="1" x14ac:dyDescent="0.3">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2.75" customHeight="1" x14ac:dyDescent="0.3">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2.75" customHeight="1" x14ac:dyDescent="0.3">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2.75" customHeight="1" x14ac:dyDescent="0.3">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2.75" customHeight="1" x14ac:dyDescent="0.3">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2.75" customHeight="1" x14ac:dyDescent="0.3">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2.75" customHeight="1" x14ac:dyDescent="0.3">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2.75" customHeight="1" x14ac:dyDescent="0.3">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2.75" customHeight="1" x14ac:dyDescent="0.3">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2.75" customHeight="1" x14ac:dyDescent="0.3">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2.75" customHeight="1" x14ac:dyDescent="0.3">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2.75" customHeight="1" x14ac:dyDescent="0.3">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2.75" customHeight="1" x14ac:dyDescent="0.3">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2.75" customHeight="1" x14ac:dyDescent="0.3">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2.75" customHeight="1" x14ac:dyDescent="0.3">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2.75" customHeight="1" x14ac:dyDescent="0.3">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2.75" customHeight="1" x14ac:dyDescent="0.3">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2.75" customHeight="1" x14ac:dyDescent="0.3">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2.75" customHeight="1" x14ac:dyDescent="0.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2.75" customHeight="1" x14ac:dyDescent="0.3">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2.75" customHeight="1" x14ac:dyDescent="0.3">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2.75" customHeight="1" x14ac:dyDescent="0.3">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2.75" customHeight="1" x14ac:dyDescent="0.3">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2.75" customHeight="1" x14ac:dyDescent="0.3">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2.75" customHeight="1" x14ac:dyDescent="0.3">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2.75" customHeight="1" x14ac:dyDescent="0.3">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2.75" customHeight="1" x14ac:dyDescent="0.3">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2.75" customHeight="1" x14ac:dyDescent="0.3">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2.75" customHeight="1" x14ac:dyDescent="0.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2.75" customHeight="1" x14ac:dyDescent="0.3">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2.75" customHeight="1" x14ac:dyDescent="0.3">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2.75" customHeight="1" x14ac:dyDescent="0.3">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2.75" customHeight="1" x14ac:dyDescent="0.3">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2.75" customHeight="1" x14ac:dyDescent="0.3">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2.75" customHeight="1" x14ac:dyDescent="0.3">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2.75" customHeight="1" x14ac:dyDescent="0.3">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2.75" customHeight="1" x14ac:dyDescent="0.3">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2.75" customHeight="1" x14ac:dyDescent="0.3">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2.75" customHeight="1" x14ac:dyDescent="0.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2.75" customHeight="1" x14ac:dyDescent="0.3">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2.75" customHeight="1" x14ac:dyDescent="0.3">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2.75" customHeight="1" x14ac:dyDescent="0.3">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2.75" customHeight="1" x14ac:dyDescent="0.3">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2.75" customHeight="1" x14ac:dyDescent="0.3">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2.75" customHeight="1" x14ac:dyDescent="0.3">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2.75" customHeight="1" x14ac:dyDescent="0.3">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2.75" customHeight="1" x14ac:dyDescent="0.3">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2.75" customHeight="1" x14ac:dyDescent="0.3">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2.75" customHeight="1" x14ac:dyDescent="0.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2.75" customHeight="1" x14ac:dyDescent="0.3">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2.75" customHeight="1" x14ac:dyDescent="0.3">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2.75" customHeight="1" x14ac:dyDescent="0.3">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2.75" customHeight="1" x14ac:dyDescent="0.3">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2.75" customHeight="1" x14ac:dyDescent="0.3">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2.75" customHeight="1" x14ac:dyDescent="0.3">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2.75" customHeight="1" x14ac:dyDescent="0.3">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2.75" customHeight="1" x14ac:dyDescent="0.3">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2.75" customHeight="1" x14ac:dyDescent="0.3">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2.75" customHeight="1" x14ac:dyDescent="0.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2.75" customHeight="1" x14ac:dyDescent="0.3">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2.75" customHeight="1" x14ac:dyDescent="0.3">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2.75" customHeight="1" x14ac:dyDescent="0.3">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2.75" customHeight="1" x14ac:dyDescent="0.3">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2.75" customHeight="1" x14ac:dyDescent="0.3">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2.75" customHeight="1" x14ac:dyDescent="0.3">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2.75" customHeight="1" x14ac:dyDescent="0.3">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2.75" customHeight="1" x14ac:dyDescent="0.3">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2.75" customHeight="1" x14ac:dyDescent="0.3">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2.75" customHeight="1" x14ac:dyDescent="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2.75" customHeight="1" x14ac:dyDescent="0.3">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2.75" customHeight="1" x14ac:dyDescent="0.3">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2.75" customHeight="1" x14ac:dyDescent="0.3">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2.75" customHeight="1" x14ac:dyDescent="0.3">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2.75" customHeight="1" x14ac:dyDescent="0.3">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2.75" customHeight="1" x14ac:dyDescent="0.3">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2.75" customHeight="1" x14ac:dyDescent="0.3">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2.75" customHeight="1" x14ac:dyDescent="0.3">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2.75" customHeight="1" x14ac:dyDescent="0.3">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2.75" customHeight="1" x14ac:dyDescent="0.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2.75" customHeight="1" x14ac:dyDescent="0.3">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2.75" customHeight="1" x14ac:dyDescent="0.3">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2.75" customHeight="1" x14ac:dyDescent="0.3">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2.75" customHeight="1" x14ac:dyDescent="0.3">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2.75" customHeight="1" x14ac:dyDescent="0.3">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2.75" customHeight="1" x14ac:dyDescent="0.3">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2.75" customHeight="1" x14ac:dyDescent="0.3">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2.75" customHeight="1" x14ac:dyDescent="0.3">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2.75" customHeight="1" x14ac:dyDescent="0.3">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2.75" customHeight="1" x14ac:dyDescent="0.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2.75" customHeight="1" x14ac:dyDescent="0.3">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2.75" customHeight="1" x14ac:dyDescent="0.3">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2.75" customHeight="1" x14ac:dyDescent="0.3">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2.75" customHeight="1" x14ac:dyDescent="0.3">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2.75" customHeight="1" x14ac:dyDescent="0.3">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2.75" customHeight="1" x14ac:dyDescent="0.3">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2.75" customHeight="1" x14ac:dyDescent="0.3">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2.75" customHeight="1" x14ac:dyDescent="0.3">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2.75" customHeight="1" x14ac:dyDescent="0.3">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2.75" customHeight="1" x14ac:dyDescent="0.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2.75" customHeight="1" x14ac:dyDescent="0.3">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2.75" customHeight="1" x14ac:dyDescent="0.3">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2.75" customHeight="1" x14ac:dyDescent="0.3">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2.75" customHeight="1" x14ac:dyDescent="0.3">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2.75" customHeight="1" x14ac:dyDescent="0.3">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2.75" customHeight="1" x14ac:dyDescent="0.3">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2.75" customHeight="1" x14ac:dyDescent="0.3">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2.75" customHeight="1" x14ac:dyDescent="0.3">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2.75" customHeight="1" x14ac:dyDescent="0.3">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2.75" customHeight="1" x14ac:dyDescent="0.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2.75" customHeight="1" x14ac:dyDescent="0.3">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2.75" customHeight="1" x14ac:dyDescent="0.3">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2.75" customHeight="1" x14ac:dyDescent="0.3">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2.75" customHeight="1" x14ac:dyDescent="0.3">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2.75" customHeight="1" x14ac:dyDescent="0.3">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2.75" customHeight="1" x14ac:dyDescent="0.3">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2.75" customHeight="1" x14ac:dyDescent="0.3">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2.75" customHeight="1" x14ac:dyDescent="0.3">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2.75" customHeight="1" x14ac:dyDescent="0.3">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2.75" customHeight="1" x14ac:dyDescent="0.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2.75" customHeight="1" x14ac:dyDescent="0.3">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2.75" customHeight="1" x14ac:dyDescent="0.3">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2.75" customHeight="1" x14ac:dyDescent="0.3">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2.75" customHeight="1" x14ac:dyDescent="0.3">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2.75" customHeight="1" x14ac:dyDescent="0.3">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2.75" customHeight="1" x14ac:dyDescent="0.3">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2.75" customHeight="1" x14ac:dyDescent="0.3">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2.75" customHeight="1" x14ac:dyDescent="0.3">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2.75" customHeight="1" x14ac:dyDescent="0.3">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2.75" customHeight="1" x14ac:dyDescent="0.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2.75" customHeight="1" x14ac:dyDescent="0.3">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2.75" customHeight="1" x14ac:dyDescent="0.3">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2.75" customHeight="1" x14ac:dyDescent="0.3">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2.75" customHeight="1" x14ac:dyDescent="0.3">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2.75" customHeight="1" x14ac:dyDescent="0.3">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2.75" customHeight="1" x14ac:dyDescent="0.3">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2.75" customHeight="1" x14ac:dyDescent="0.3">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2.75" customHeight="1" x14ac:dyDescent="0.3">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2.75" customHeight="1" x14ac:dyDescent="0.3">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2.75" customHeight="1" x14ac:dyDescent="0.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2.75" customHeight="1" x14ac:dyDescent="0.3">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2.75" customHeight="1" x14ac:dyDescent="0.3">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2.75" customHeight="1" x14ac:dyDescent="0.3">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2.75" customHeight="1" x14ac:dyDescent="0.3">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2.75" customHeight="1" x14ac:dyDescent="0.3">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2.75" customHeight="1" x14ac:dyDescent="0.3">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2.75" customHeight="1" x14ac:dyDescent="0.3">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2.75" customHeight="1" x14ac:dyDescent="0.3">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2.75" customHeight="1" x14ac:dyDescent="0.3">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2.75" customHeight="1" x14ac:dyDescent="0.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2.75" customHeight="1" x14ac:dyDescent="0.3">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2.75" customHeight="1" x14ac:dyDescent="0.3">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2.75" customHeight="1" x14ac:dyDescent="0.3">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2.75" customHeight="1" x14ac:dyDescent="0.3">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2.75" customHeight="1" x14ac:dyDescent="0.3">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2.75" customHeight="1" x14ac:dyDescent="0.3">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2.75" customHeight="1" x14ac:dyDescent="0.3">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2.75" customHeight="1" x14ac:dyDescent="0.3">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2.75" customHeight="1" x14ac:dyDescent="0.3">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2.75" customHeight="1" x14ac:dyDescent="0.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2.75" customHeight="1" x14ac:dyDescent="0.3">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2.75" customHeight="1" x14ac:dyDescent="0.3">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2.75" customHeight="1" x14ac:dyDescent="0.3">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2.75" customHeight="1" x14ac:dyDescent="0.3">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2.75" customHeight="1" x14ac:dyDescent="0.3">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2.75" customHeight="1" x14ac:dyDescent="0.3">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2.75" customHeight="1" x14ac:dyDescent="0.3">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2.75" customHeight="1" x14ac:dyDescent="0.3">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2.75" customHeight="1" x14ac:dyDescent="0.3">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2.75" customHeight="1" x14ac:dyDescent="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2.75" customHeight="1" x14ac:dyDescent="0.3">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2.75" customHeight="1" x14ac:dyDescent="0.3">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2.75" customHeight="1" x14ac:dyDescent="0.3">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2.75" customHeight="1" x14ac:dyDescent="0.3">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2.75" customHeight="1" x14ac:dyDescent="0.3">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2.75" customHeight="1" x14ac:dyDescent="0.3">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2.75" customHeight="1" x14ac:dyDescent="0.3">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2.75" customHeight="1" x14ac:dyDescent="0.3">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2.75" customHeight="1" x14ac:dyDescent="0.3">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2.75" customHeight="1" x14ac:dyDescent="0.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2.75" customHeight="1" x14ac:dyDescent="0.3">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2.75" customHeight="1" x14ac:dyDescent="0.3">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2.75" customHeight="1" x14ac:dyDescent="0.3">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2.75" customHeight="1" x14ac:dyDescent="0.3">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2.75" customHeight="1" x14ac:dyDescent="0.3">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2.75" customHeight="1" x14ac:dyDescent="0.3">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2.75" customHeight="1" x14ac:dyDescent="0.3">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2.75" customHeight="1" x14ac:dyDescent="0.3">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2.75" customHeight="1" x14ac:dyDescent="0.3">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2.75" customHeight="1" x14ac:dyDescent="0.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2.75" customHeight="1" x14ac:dyDescent="0.3">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2.75" customHeight="1" x14ac:dyDescent="0.3">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2.75" customHeight="1" x14ac:dyDescent="0.3">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2.75" customHeight="1" x14ac:dyDescent="0.3">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2.75" customHeight="1" x14ac:dyDescent="0.3">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2.75" customHeight="1" x14ac:dyDescent="0.3">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2.75" customHeight="1" x14ac:dyDescent="0.3">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2.75" customHeight="1" x14ac:dyDescent="0.3">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2.75" customHeight="1" x14ac:dyDescent="0.3">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2.75" customHeight="1" x14ac:dyDescent="0.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2.75" customHeight="1" x14ac:dyDescent="0.3">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2.75" customHeight="1" x14ac:dyDescent="0.3">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2.75" customHeight="1" x14ac:dyDescent="0.3">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2.75" customHeight="1" x14ac:dyDescent="0.3">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2.75" customHeight="1" x14ac:dyDescent="0.3">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2.75" customHeight="1" x14ac:dyDescent="0.3">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2.75" customHeight="1" x14ac:dyDescent="0.3">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2.75" customHeight="1" x14ac:dyDescent="0.3">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2.75" customHeight="1" x14ac:dyDescent="0.3">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2.75" customHeight="1" x14ac:dyDescent="0.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2.75" customHeight="1" x14ac:dyDescent="0.3">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2.75" customHeight="1" x14ac:dyDescent="0.3">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2.75" customHeight="1" x14ac:dyDescent="0.3">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2.75" customHeight="1" x14ac:dyDescent="0.3">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2.75" customHeight="1" x14ac:dyDescent="0.3">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2.75" customHeight="1" x14ac:dyDescent="0.3">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2.75" customHeight="1" x14ac:dyDescent="0.3">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2.75" customHeight="1" x14ac:dyDescent="0.3">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2.75" customHeight="1" x14ac:dyDescent="0.3">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2.75" customHeight="1" x14ac:dyDescent="0.3">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2.75" customHeight="1" x14ac:dyDescent="0.3">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2.75" customHeight="1" x14ac:dyDescent="0.3">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2.75" customHeight="1" x14ac:dyDescent="0.3">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2.75" customHeight="1" x14ac:dyDescent="0.3">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2.75" customHeight="1" x14ac:dyDescent="0.3">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2.75" customHeight="1" x14ac:dyDescent="0.3">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2.75" customHeight="1" x14ac:dyDescent="0.3">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2.75" customHeight="1" x14ac:dyDescent="0.3">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2.75" customHeight="1" x14ac:dyDescent="0.3">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2.75" customHeight="1" x14ac:dyDescent="0.3">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2.75" customHeight="1" x14ac:dyDescent="0.3">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2.75" customHeight="1" x14ac:dyDescent="0.3">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2.75" customHeight="1" x14ac:dyDescent="0.3">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2.75" customHeight="1" x14ac:dyDescent="0.3">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2.75" customHeight="1" x14ac:dyDescent="0.3">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2.75" customHeight="1" x14ac:dyDescent="0.3">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2.75" customHeight="1" x14ac:dyDescent="0.3">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2.75" customHeight="1" x14ac:dyDescent="0.3">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2.75" customHeight="1" x14ac:dyDescent="0.3">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2.75" customHeight="1" x14ac:dyDescent="0.3">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2.75" customHeight="1" x14ac:dyDescent="0.3">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2.75" customHeight="1" x14ac:dyDescent="0.3">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2.75" customHeight="1" x14ac:dyDescent="0.3">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2.75" customHeight="1" x14ac:dyDescent="0.3">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2.75" customHeight="1" x14ac:dyDescent="0.3">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2.75" customHeight="1" x14ac:dyDescent="0.3">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2.75" customHeight="1" x14ac:dyDescent="0.3">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2.75" customHeight="1" x14ac:dyDescent="0.3">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2.75" customHeight="1" x14ac:dyDescent="0.3">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2.75" customHeight="1" x14ac:dyDescent="0.3">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2.75" customHeight="1" x14ac:dyDescent="0.3">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2.75" customHeight="1" x14ac:dyDescent="0.3">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2.75" customHeight="1" x14ac:dyDescent="0.3">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2.75" customHeight="1" x14ac:dyDescent="0.3">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2.75" customHeight="1" x14ac:dyDescent="0.3">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2.75" customHeight="1" x14ac:dyDescent="0.3">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2.75" customHeight="1" x14ac:dyDescent="0.3">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2.75" customHeight="1" x14ac:dyDescent="0.3">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2.75" customHeight="1" x14ac:dyDescent="0.3">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2.75" customHeight="1" x14ac:dyDescent="0.3">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2.75" customHeight="1" x14ac:dyDescent="0.3">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2.75" customHeight="1" x14ac:dyDescent="0.3">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2.75" customHeight="1" x14ac:dyDescent="0.3">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2.75" customHeight="1" x14ac:dyDescent="0.3">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2.75" customHeight="1" x14ac:dyDescent="0.3">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2.75" customHeight="1" x14ac:dyDescent="0.3">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2.75" customHeight="1" x14ac:dyDescent="0.3">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2.75" customHeight="1" x14ac:dyDescent="0.3">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2.75" customHeight="1" x14ac:dyDescent="0.3">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2.75" customHeight="1" x14ac:dyDescent="0.3">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2.75" customHeight="1" x14ac:dyDescent="0.3">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2.75" customHeight="1" x14ac:dyDescent="0.3">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2.75" customHeight="1" x14ac:dyDescent="0.3">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2.75" customHeight="1" x14ac:dyDescent="0.3">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2.75" customHeight="1" x14ac:dyDescent="0.3">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2.75" customHeight="1" x14ac:dyDescent="0.3">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2.75" customHeight="1" x14ac:dyDescent="0.3">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2.75" customHeight="1" x14ac:dyDescent="0.3">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2.75" customHeight="1" x14ac:dyDescent="0.3">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2.75" customHeight="1" x14ac:dyDescent="0.3">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2.75" customHeight="1" x14ac:dyDescent="0.3">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2.75" customHeight="1" x14ac:dyDescent="0.3">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2.75" customHeight="1" x14ac:dyDescent="0.3">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2.75" customHeight="1" x14ac:dyDescent="0.3">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2.75" customHeight="1" x14ac:dyDescent="0.3">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2.75" customHeight="1" x14ac:dyDescent="0.3">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2.75" customHeight="1" x14ac:dyDescent="0.3">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2.75" customHeight="1" x14ac:dyDescent="0.3">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2.75" customHeight="1" x14ac:dyDescent="0.3">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2.75" customHeight="1" x14ac:dyDescent="0.3">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2.75" customHeight="1" x14ac:dyDescent="0.3">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2.75" customHeight="1" x14ac:dyDescent="0.3">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2.75" customHeight="1" x14ac:dyDescent="0.3">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2.75" customHeight="1" x14ac:dyDescent="0.3">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2.75" customHeight="1" x14ac:dyDescent="0.3">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2.75" customHeight="1" x14ac:dyDescent="0.3">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2.75" customHeight="1" x14ac:dyDescent="0.3">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2.75" customHeight="1" x14ac:dyDescent="0.3">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2.75" customHeight="1" x14ac:dyDescent="0.3">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2.75" customHeight="1" x14ac:dyDescent="0.3">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2.75" customHeight="1" x14ac:dyDescent="0.3">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2.75" customHeight="1" x14ac:dyDescent="0.3">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2.75" customHeight="1" x14ac:dyDescent="0.3">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2.75" customHeight="1" x14ac:dyDescent="0.3">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2.75" customHeight="1" x14ac:dyDescent="0.3">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2.75" customHeight="1" x14ac:dyDescent="0.3">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2.75" customHeight="1" x14ac:dyDescent="0.3">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2.75" customHeight="1" x14ac:dyDescent="0.3">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2.75" customHeight="1" x14ac:dyDescent="0.3">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2.75" customHeight="1" x14ac:dyDescent="0.3">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2.75" customHeight="1" x14ac:dyDescent="0.3">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2.75" customHeight="1" x14ac:dyDescent="0.3">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2.75" customHeight="1" x14ac:dyDescent="0.3">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2.75" customHeight="1" x14ac:dyDescent="0.3">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2.75" customHeight="1" x14ac:dyDescent="0.3">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2.75" customHeight="1" x14ac:dyDescent="0.3">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2.75" customHeight="1" x14ac:dyDescent="0.3">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2.75" customHeight="1" x14ac:dyDescent="0.3">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2.75" customHeight="1" x14ac:dyDescent="0.3">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2.75" customHeight="1" x14ac:dyDescent="0.3">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2.75" customHeight="1" x14ac:dyDescent="0.3">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2.75" customHeight="1" x14ac:dyDescent="0.3">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2.75" customHeight="1" x14ac:dyDescent="0.3">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2.75" customHeight="1" x14ac:dyDescent="0.3">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2.75" customHeight="1" x14ac:dyDescent="0.3">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2.75" customHeight="1" x14ac:dyDescent="0.3">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2.75" customHeight="1" x14ac:dyDescent="0.3">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2.75" customHeight="1" x14ac:dyDescent="0.3">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2.75" customHeight="1" x14ac:dyDescent="0.3">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2.75" customHeight="1" x14ac:dyDescent="0.3">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2.75" customHeight="1" x14ac:dyDescent="0.3">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2.75" customHeight="1" x14ac:dyDescent="0.3">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2.75" customHeight="1" x14ac:dyDescent="0.3">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2.75" customHeight="1" x14ac:dyDescent="0.3">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2.75" customHeight="1" x14ac:dyDescent="0.3">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2.75" customHeight="1" x14ac:dyDescent="0.3">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2.75" customHeight="1" x14ac:dyDescent="0.3">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2.75" customHeight="1" x14ac:dyDescent="0.3">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2.75" customHeight="1" x14ac:dyDescent="0.3">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2.75" customHeight="1" x14ac:dyDescent="0.3">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2.75" customHeight="1" x14ac:dyDescent="0.3">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2.75" customHeight="1" x14ac:dyDescent="0.3">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2.75" customHeight="1" x14ac:dyDescent="0.3">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2.75" customHeight="1" x14ac:dyDescent="0.3">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2.75" customHeight="1" x14ac:dyDescent="0.3">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2.75" customHeight="1" x14ac:dyDescent="0.3">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2.75" customHeight="1" x14ac:dyDescent="0.3">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2.75" customHeight="1" x14ac:dyDescent="0.3">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2.75" customHeight="1" x14ac:dyDescent="0.3">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2.75" customHeight="1" x14ac:dyDescent="0.3">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2.75" customHeight="1" x14ac:dyDescent="0.3">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2.75" customHeight="1" x14ac:dyDescent="0.3">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2.75" customHeight="1" x14ac:dyDescent="0.3">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2.75" customHeight="1" x14ac:dyDescent="0.3">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2.75" customHeight="1" x14ac:dyDescent="0.3">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2.75" customHeight="1" x14ac:dyDescent="0.3">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2.75" customHeight="1" x14ac:dyDescent="0.3">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2.75" customHeight="1" x14ac:dyDescent="0.3">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2.75" customHeight="1" x14ac:dyDescent="0.3">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2.75" customHeight="1" x14ac:dyDescent="0.3">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2.75" customHeight="1" x14ac:dyDescent="0.3">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2.75" customHeight="1" x14ac:dyDescent="0.3">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2.75" customHeight="1" x14ac:dyDescent="0.3">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2.75" customHeight="1" x14ac:dyDescent="0.3">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2.75" customHeight="1" x14ac:dyDescent="0.3">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2.75" customHeight="1" x14ac:dyDescent="0.3">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2.75" customHeight="1" x14ac:dyDescent="0.3">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2.75" customHeight="1" x14ac:dyDescent="0.3">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2.75" customHeight="1" x14ac:dyDescent="0.3">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2.75" customHeight="1" x14ac:dyDescent="0.3">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2.75" customHeight="1" x14ac:dyDescent="0.3">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2.75" customHeight="1" x14ac:dyDescent="0.3">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2.75" customHeight="1" x14ac:dyDescent="0.3">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2.75" customHeight="1" x14ac:dyDescent="0.3">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2.75" customHeight="1" x14ac:dyDescent="0.3">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2.75" customHeight="1" x14ac:dyDescent="0.3">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2.75" customHeight="1" x14ac:dyDescent="0.3">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2.75" customHeight="1" x14ac:dyDescent="0.3">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2.75" customHeight="1" x14ac:dyDescent="0.3">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2.75" customHeight="1" x14ac:dyDescent="0.3">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2.75" customHeight="1" x14ac:dyDescent="0.3">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2.75" customHeight="1" x14ac:dyDescent="0.3">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2.75" customHeight="1" x14ac:dyDescent="0.3">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2.75" customHeight="1" x14ac:dyDescent="0.3">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2.75" customHeight="1" x14ac:dyDescent="0.3">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2.75" customHeight="1" x14ac:dyDescent="0.3">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2.75" customHeight="1" x14ac:dyDescent="0.3">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2.75" customHeight="1" x14ac:dyDescent="0.3">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2.75" customHeight="1" x14ac:dyDescent="0.3">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2.75" customHeight="1" x14ac:dyDescent="0.3">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2.75" customHeight="1" x14ac:dyDescent="0.3">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2.75" customHeight="1" x14ac:dyDescent="0.3">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2.75" customHeight="1" x14ac:dyDescent="0.3">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2.75" customHeight="1" x14ac:dyDescent="0.3">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2.75" customHeight="1" x14ac:dyDescent="0.3">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2.75" customHeight="1" x14ac:dyDescent="0.3">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2.75" customHeight="1" x14ac:dyDescent="0.3">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2.75" customHeight="1" x14ac:dyDescent="0.3">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2.75" customHeight="1" x14ac:dyDescent="0.3">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2.75" customHeight="1" x14ac:dyDescent="0.3">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2.75" customHeight="1" x14ac:dyDescent="0.3">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2.75" customHeight="1" x14ac:dyDescent="0.3">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2.75" customHeight="1" x14ac:dyDescent="0.3">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2.75" customHeight="1" x14ac:dyDescent="0.3">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2.75" customHeight="1" x14ac:dyDescent="0.3">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2.75" customHeight="1" x14ac:dyDescent="0.3">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2.75" customHeight="1" x14ac:dyDescent="0.3">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2.75" customHeight="1" x14ac:dyDescent="0.3">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2.75" customHeight="1" x14ac:dyDescent="0.3">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2.75" customHeight="1" x14ac:dyDescent="0.3">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2.75" customHeight="1" x14ac:dyDescent="0.3">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2.75" customHeight="1" x14ac:dyDescent="0.3">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2.75" customHeight="1" x14ac:dyDescent="0.3">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2.75" customHeight="1" x14ac:dyDescent="0.3">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2.75" customHeight="1" x14ac:dyDescent="0.3">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2.75" customHeight="1" x14ac:dyDescent="0.3">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2.75" customHeight="1" x14ac:dyDescent="0.3">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2.75" customHeight="1" x14ac:dyDescent="0.3">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2.75" customHeight="1" x14ac:dyDescent="0.3">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2.75" customHeight="1" x14ac:dyDescent="0.3">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2.75" customHeight="1" x14ac:dyDescent="0.3">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2.75" customHeight="1" x14ac:dyDescent="0.3">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2.75" customHeight="1" x14ac:dyDescent="0.3">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2.75" customHeight="1" x14ac:dyDescent="0.3">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2.75" customHeight="1" x14ac:dyDescent="0.3">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2.75" customHeight="1" x14ac:dyDescent="0.3">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2.75" customHeight="1" x14ac:dyDescent="0.3">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2.75" customHeight="1" x14ac:dyDescent="0.3">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2.75" customHeight="1" x14ac:dyDescent="0.3">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2.75" customHeight="1" x14ac:dyDescent="0.3">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2.75" customHeight="1" x14ac:dyDescent="0.3">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2.75" customHeight="1" x14ac:dyDescent="0.3">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2.75" customHeight="1" x14ac:dyDescent="0.3">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2.75" customHeight="1" x14ac:dyDescent="0.3">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2.75" customHeight="1" x14ac:dyDescent="0.3">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2.75" customHeight="1" x14ac:dyDescent="0.3">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2.75" customHeight="1" x14ac:dyDescent="0.3">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2.75" customHeight="1" x14ac:dyDescent="0.3">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2.75" customHeight="1" x14ac:dyDescent="0.3">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2.75" customHeight="1" x14ac:dyDescent="0.3">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2.75" customHeight="1" x14ac:dyDescent="0.3">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2.75" customHeight="1" x14ac:dyDescent="0.3">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2.75" customHeight="1" x14ac:dyDescent="0.3">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2.75" customHeight="1" x14ac:dyDescent="0.3">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2.75" customHeight="1" x14ac:dyDescent="0.3">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2.75" customHeight="1" x14ac:dyDescent="0.3">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2.75" customHeight="1" x14ac:dyDescent="0.3">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2.75" customHeight="1" x14ac:dyDescent="0.3">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2.75" customHeight="1" x14ac:dyDescent="0.3">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2.75" customHeight="1" x14ac:dyDescent="0.3">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2.75" customHeight="1" x14ac:dyDescent="0.3">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2.75" customHeight="1" x14ac:dyDescent="0.3">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2.75" customHeight="1" x14ac:dyDescent="0.3">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2.75" customHeight="1" x14ac:dyDescent="0.3">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2.75" customHeight="1" x14ac:dyDescent="0.3">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2.75" customHeight="1" x14ac:dyDescent="0.3">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2.75" customHeight="1" x14ac:dyDescent="0.3">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2.75" customHeight="1" x14ac:dyDescent="0.3">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2.75" customHeight="1" x14ac:dyDescent="0.3">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2.75" customHeight="1" x14ac:dyDescent="0.3">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2.75" customHeight="1" x14ac:dyDescent="0.3">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2.75" customHeight="1" x14ac:dyDescent="0.3">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2.75" customHeight="1" x14ac:dyDescent="0.3">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2.75" customHeight="1" x14ac:dyDescent="0.3">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2.75" customHeight="1" x14ac:dyDescent="0.3">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2.75" customHeight="1" x14ac:dyDescent="0.3">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2.75" customHeight="1" x14ac:dyDescent="0.3">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2.75" customHeight="1" x14ac:dyDescent="0.3">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2.75" customHeight="1" x14ac:dyDescent="0.3">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2.75" customHeight="1" x14ac:dyDescent="0.3">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2.75" customHeight="1" x14ac:dyDescent="0.3">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2.75" customHeight="1" x14ac:dyDescent="0.3">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2.75" customHeight="1" x14ac:dyDescent="0.3">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2.75" customHeight="1" x14ac:dyDescent="0.3">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2.75" customHeight="1" x14ac:dyDescent="0.3">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2.75" customHeight="1" x14ac:dyDescent="0.3">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2.75" customHeight="1" x14ac:dyDescent="0.3">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2.75" customHeight="1" x14ac:dyDescent="0.3">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2.75" customHeight="1" x14ac:dyDescent="0.3">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2.75" customHeight="1" x14ac:dyDescent="0.3">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2.75" customHeight="1" x14ac:dyDescent="0.3">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2.75" customHeight="1" x14ac:dyDescent="0.3">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2.75" customHeight="1" x14ac:dyDescent="0.3">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2.75" customHeight="1" x14ac:dyDescent="0.3">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2.75" customHeight="1" x14ac:dyDescent="0.3">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2.75" customHeight="1" x14ac:dyDescent="0.3">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2.75" customHeight="1" x14ac:dyDescent="0.3">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2.75" customHeight="1" x14ac:dyDescent="0.3">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2.75" customHeight="1" x14ac:dyDescent="0.3">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2.75" customHeight="1" x14ac:dyDescent="0.3">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2.75" customHeight="1" x14ac:dyDescent="0.3">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2.75" customHeight="1" x14ac:dyDescent="0.3">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2.75" customHeight="1" x14ac:dyDescent="0.3">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2.75" customHeight="1" x14ac:dyDescent="0.3">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2.75" customHeight="1" x14ac:dyDescent="0.3">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2.75" customHeight="1" x14ac:dyDescent="0.3">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2.75" customHeight="1" x14ac:dyDescent="0.3">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2.75" customHeight="1" x14ac:dyDescent="0.3">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2.75" customHeight="1" x14ac:dyDescent="0.3">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2.75" customHeight="1" x14ac:dyDescent="0.3">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2.75" customHeight="1" x14ac:dyDescent="0.3">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2.75" customHeight="1" x14ac:dyDescent="0.3">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2.75" customHeight="1" x14ac:dyDescent="0.3">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2.75" customHeight="1" x14ac:dyDescent="0.3">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2.75" customHeight="1" x14ac:dyDescent="0.3">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2.75" customHeight="1" x14ac:dyDescent="0.3">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2.75" customHeight="1" x14ac:dyDescent="0.3">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2.75" customHeight="1" x14ac:dyDescent="0.3">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2.75" customHeight="1" x14ac:dyDescent="0.3">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2.75" customHeight="1" x14ac:dyDescent="0.3">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2.75" customHeight="1" x14ac:dyDescent="0.3">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2.75" customHeight="1" x14ac:dyDescent="0.3">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2.75" customHeight="1" x14ac:dyDescent="0.3">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2.75" customHeight="1" x14ac:dyDescent="0.3">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2.75" customHeight="1" x14ac:dyDescent="0.3">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2.75" customHeight="1" x14ac:dyDescent="0.3">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2.75" customHeight="1" x14ac:dyDescent="0.3">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2.75" customHeight="1" x14ac:dyDescent="0.3">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2.75" customHeight="1" x14ac:dyDescent="0.3">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2.75" customHeight="1" x14ac:dyDescent="0.3">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2.75" customHeight="1" x14ac:dyDescent="0.3">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2.75" customHeight="1" x14ac:dyDescent="0.3">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2.75" customHeight="1" x14ac:dyDescent="0.3">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2.75" customHeight="1" x14ac:dyDescent="0.3">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2.75" customHeight="1" x14ac:dyDescent="0.3">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2.75" customHeight="1" x14ac:dyDescent="0.3">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2.75" customHeight="1" x14ac:dyDescent="0.3">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2.75" customHeight="1" x14ac:dyDescent="0.3">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2.75" customHeight="1" x14ac:dyDescent="0.3">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2.75" customHeight="1" x14ac:dyDescent="0.3">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2.75" customHeight="1" x14ac:dyDescent="0.3">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2.75" customHeight="1" x14ac:dyDescent="0.3">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2.75" customHeight="1" x14ac:dyDescent="0.3">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2.75" customHeight="1" x14ac:dyDescent="0.3">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2.75" customHeight="1" x14ac:dyDescent="0.3">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2.75" customHeight="1" x14ac:dyDescent="0.3">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2.75" customHeight="1" x14ac:dyDescent="0.3">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2.75" customHeight="1" x14ac:dyDescent="0.3">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2.75" customHeight="1" x14ac:dyDescent="0.3">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2.75" customHeight="1" x14ac:dyDescent="0.3">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2.75" customHeight="1" x14ac:dyDescent="0.3">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2.75" customHeight="1" x14ac:dyDescent="0.3">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2.75" customHeight="1" x14ac:dyDescent="0.3">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2.75" customHeight="1" x14ac:dyDescent="0.3">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2.75" customHeight="1" x14ac:dyDescent="0.3">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2.75" customHeight="1" x14ac:dyDescent="0.3">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2.75" customHeight="1" x14ac:dyDescent="0.3">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2.75" customHeight="1" x14ac:dyDescent="0.3">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2.75" customHeight="1" x14ac:dyDescent="0.3">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2.75" customHeight="1" x14ac:dyDescent="0.3">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2.75" customHeight="1" x14ac:dyDescent="0.3">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2.75" customHeight="1" x14ac:dyDescent="0.3">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2.75" customHeight="1" x14ac:dyDescent="0.3">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2.75" customHeight="1" x14ac:dyDescent="0.3">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2.75" customHeight="1" x14ac:dyDescent="0.3">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2.75" customHeight="1" x14ac:dyDescent="0.3">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2.75" customHeight="1" x14ac:dyDescent="0.3">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2.75" customHeight="1" x14ac:dyDescent="0.3">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2.75" customHeight="1" x14ac:dyDescent="0.3">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2.75" customHeight="1" x14ac:dyDescent="0.3">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2.75" customHeight="1" x14ac:dyDescent="0.3">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2.75" customHeight="1" x14ac:dyDescent="0.3">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2.75" customHeight="1" x14ac:dyDescent="0.3">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2.75" customHeight="1" x14ac:dyDescent="0.3">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2.75" customHeight="1" x14ac:dyDescent="0.3">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2.75" customHeight="1" x14ac:dyDescent="0.3">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2.75" customHeight="1" x14ac:dyDescent="0.3">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2.75" customHeight="1" x14ac:dyDescent="0.3">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2.75" customHeight="1" x14ac:dyDescent="0.3">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2.75" customHeight="1" x14ac:dyDescent="0.3">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2.75" customHeight="1" x14ac:dyDescent="0.3">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2.75" customHeight="1" x14ac:dyDescent="0.3">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2.75" customHeight="1" x14ac:dyDescent="0.3">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2.75" customHeight="1" x14ac:dyDescent="0.3">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2.75" customHeight="1" x14ac:dyDescent="0.3">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2.75" customHeight="1" x14ac:dyDescent="0.3">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2.75" customHeight="1" x14ac:dyDescent="0.3">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2.75" customHeight="1" x14ac:dyDescent="0.3">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2.75" customHeight="1" x14ac:dyDescent="0.3">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2.75" customHeight="1" x14ac:dyDescent="0.3">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2.75" customHeight="1" x14ac:dyDescent="0.3">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2.75" customHeight="1" x14ac:dyDescent="0.3">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2.75" customHeight="1" x14ac:dyDescent="0.3">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2.75" customHeight="1" x14ac:dyDescent="0.3">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2.75" customHeight="1" x14ac:dyDescent="0.3">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2.75" customHeight="1" x14ac:dyDescent="0.3">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2.75" customHeight="1" x14ac:dyDescent="0.3">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2.75" customHeight="1" x14ac:dyDescent="0.3">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2.75" customHeight="1" x14ac:dyDescent="0.3">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2.75" customHeight="1" x14ac:dyDescent="0.3">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2.75" customHeight="1" x14ac:dyDescent="0.3">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2.75" customHeight="1" x14ac:dyDescent="0.3">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2.75" customHeight="1" x14ac:dyDescent="0.3">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2.75" customHeight="1" x14ac:dyDescent="0.3">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2.75" customHeight="1" x14ac:dyDescent="0.3">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2.75" customHeight="1" x14ac:dyDescent="0.3">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2.75" customHeight="1" x14ac:dyDescent="0.3">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2.75" customHeight="1" x14ac:dyDescent="0.3">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2.75" customHeight="1" x14ac:dyDescent="0.3">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2.75" customHeight="1" x14ac:dyDescent="0.3">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2.75" customHeight="1" x14ac:dyDescent="0.3">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2.75" customHeight="1" x14ac:dyDescent="0.3">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2.75" customHeight="1" x14ac:dyDescent="0.3">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2.75" customHeight="1" x14ac:dyDescent="0.3">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2.75" customHeight="1" x14ac:dyDescent="0.3">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2.75" customHeight="1" x14ac:dyDescent="0.3">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2.75" customHeight="1" x14ac:dyDescent="0.3">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2.75" customHeight="1" x14ac:dyDescent="0.3">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2.75" customHeight="1" x14ac:dyDescent="0.3">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2.75" customHeight="1" x14ac:dyDescent="0.3">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2.75" customHeight="1" x14ac:dyDescent="0.3">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2.75" customHeight="1" x14ac:dyDescent="0.3">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2.75" customHeight="1" x14ac:dyDescent="0.3">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2.75" customHeight="1" x14ac:dyDescent="0.3">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2.75" customHeight="1" x14ac:dyDescent="0.3">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2.75" customHeight="1" x14ac:dyDescent="0.3">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2.75" customHeight="1" x14ac:dyDescent="0.3">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2.75" customHeight="1" x14ac:dyDescent="0.3">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2.75" customHeight="1" x14ac:dyDescent="0.3">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2.75" customHeight="1" x14ac:dyDescent="0.3">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2.75" customHeight="1" x14ac:dyDescent="0.3">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2.75" customHeight="1" x14ac:dyDescent="0.3">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2.75" customHeight="1" x14ac:dyDescent="0.3">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2.75" customHeight="1" x14ac:dyDescent="0.3">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2.75" customHeight="1" x14ac:dyDescent="0.3">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2.75" customHeight="1" x14ac:dyDescent="0.3">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2.75" customHeight="1" x14ac:dyDescent="0.3">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2.75" customHeight="1" x14ac:dyDescent="0.3">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2.75" customHeight="1" x14ac:dyDescent="0.3">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2.75" customHeight="1" x14ac:dyDescent="0.3">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2.75" customHeight="1" x14ac:dyDescent="0.3">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2.75" customHeight="1" x14ac:dyDescent="0.3">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2.75" customHeight="1" x14ac:dyDescent="0.3">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2.75" customHeight="1" x14ac:dyDescent="0.3">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2.75" customHeight="1" x14ac:dyDescent="0.3">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2.75" customHeight="1" x14ac:dyDescent="0.3">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2.75" customHeight="1" x14ac:dyDescent="0.3">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2.75" customHeight="1" x14ac:dyDescent="0.3">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2.75" customHeight="1" x14ac:dyDescent="0.3">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2.75" customHeight="1" x14ac:dyDescent="0.3">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2.75" customHeight="1" x14ac:dyDescent="0.3">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2.75" customHeight="1" x14ac:dyDescent="0.3">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2.75" customHeight="1" x14ac:dyDescent="0.3">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2.75" customHeight="1" x14ac:dyDescent="0.3">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2.75" customHeight="1" x14ac:dyDescent="0.3">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2.75" customHeight="1" x14ac:dyDescent="0.3">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2.75" customHeight="1" x14ac:dyDescent="0.3">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2.75" customHeight="1" x14ac:dyDescent="0.3">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2.75" customHeight="1" x14ac:dyDescent="0.3">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2.75" customHeight="1" x14ac:dyDescent="0.3">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2.75" customHeight="1" x14ac:dyDescent="0.3">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2.75" customHeight="1" x14ac:dyDescent="0.3">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2.75" customHeight="1" x14ac:dyDescent="0.3">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2.75" customHeight="1" x14ac:dyDescent="0.3">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2.75" customHeight="1" x14ac:dyDescent="0.3">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2.75" customHeight="1" x14ac:dyDescent="0.3">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2.75" customHeight="1" x14ac:dyDescent="0.3">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2.75" customHeight="1" x14ac:dyDescent="0.3">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2.75" customHeight="1" x14ac:dyDescent="0.3">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2.75" customHeight="1" x14ac:dyDescent="0.3">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2.75" customHeight="1" x14ac:dyDescent="0.3">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2.75" customHeight="1" x14ac:dyDescent="0.3">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2.75" customHeight="1" x14ac:dyDescent="0.3">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2.75" customHeight="1" x14ac:dyDescent="0.3">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2.75" customHeight="1" x14ac:dyDescent="0.3">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2.75" customHeight="1" x14ac:dyDescent="0.3">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2.75" customHeight="1" x14ac:dyDescent="0.3">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2.75" customHeight="1" x14ac:dyDescent="0.3">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2.75" customHeight="1" x14ac:dyDescent="0.3">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2.75" customHeight="1" x14ac:dyDescent="0.3">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2.75" customHeight="1" x14ac:dyDescent="0.3">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2.75" customHeight="1" x14ac:dyDescent="0.3">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2.75" customHeight="1" x14ac:dyDescent="0.3">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2.75" customHeight="1" x14ac:dyDescent="0.3">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2.75" customHeight="1" x14ac:dyDescent="0.3">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2.75" customHeight="1" x14ac:dyDescent="0.3">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2.75" customHeight="1" x14ac:dyDescent="0.3">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2.75" customHeight="1" x14ac:dyDescent="0.3">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2.75" customHeight="1" x14ac:dyDescent="0.3">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2.75" customHeight="1" x14ac:dyDescent="0.3">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2.75" customHeight="1" x14ac:dyDescent="0.3">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2.75" customHeight="1" x14ac:dyDescent="0.3">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2.75" customHeight="1" x14ac:dyDescent="0.3">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2.75" customHeight="1" x14ac:dyDescent="0.3">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2.75" customHeight="1" x14ac:dyDescent="0.3">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2.75" customHeight="1" x14ac:dyDescent="0.3">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2.75" customHeight="1" x14ac:dyDescent="0.3">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2.75" customHeight="1" x14ac:dyDescent="0.3">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2.75" customHeight="1" x14ac:dyDescent="0.3">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2.75" customHeight="1" x14ac:dyDescent="0.3">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2.75" customHeight="1" x14ac:dyDescent="0.3">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2.75" customHeight="1" x14ac:dyDescent="0.3">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2.75" customHeight="1" x14ac:dyDescent="0.3">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2.75" customHeight="1" x14ac:dyDescent="0.3">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2.75" customHeight="1" x14ac:dyDescent="0.3">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2.75" customHeight="1" x14ac:dyDescent="0.3">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2.75" customHeight="1" x14ac:dyDescent="0.3">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2.75" customHeight="1" x14ac:dyDescent="0.3">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2.75" customHeight="1" x14ac:dyDescent="0.3">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2.75" customHeight="1" x14ac:dyDescent="0.3">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2.75" customHeight="1" x14ac:dyDescent="0.3">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2.75" customHeight="1" x14ac:dyDescent="0.3">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2.75" customHeight="1" x14ac:dyDescent="0.3">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2.75" customHeight="1" x14ac:dyDescent="0.3">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2.75" customHeight="1" x14ac:dyDescent="0.3">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2.75" customHeight="1" x14ac:dyDescent="0.3">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2.75" customHeight="1" x14ac:dyDescent="0.3">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2.75" customHeight="1" x14ac:dyDescent="0.3">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2.75" customHeight="1" x14ac:dyDescent="0.3">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2.75" customHeight="1" x14ac:dyDescent="0.3">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2.75" customHeight="1" x14ac:dyDescent="0.3">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2.75" customHeight="1" x14ac:dyDescent="0.3">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2.75" customHeight="1" x14ac:dyDescent="0.3">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2.75" customHeight="1" x14ac:dyDescent="0.3">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2.75" customHeight="1" x14ac:dyDescent="0.3">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2.75" customHeight="1" x14ac:dyDescent="0.3">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2.75" customHeight="1" x14ac:dyDescent="0.3">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2.75" customHeight="1" x14ac:dyDescent="0.3">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2.75" customHeight="1" x14ac:dyDescent="0.3">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2.75" customHeight="1" x14ac:dyDescent="0.3">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2.75" customHeight="1" x14ac:dyDescent="0.3">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2.75" customHeight="1" x14ac:dyDescent="0.3">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2.75" customHeight="1" x14ac:dyDescent="0.3">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2.75" customHeight="1" x14ac:dyDescent="0.3">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2.75" customHeight="1" x14ac:dyDescent="0.3">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2.75" customHeight="1" x14ac:dyDescent="0.3">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2.75" customHeight="1" x14ac:dyDescent="0.3">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2.75" customHeight="1" x14ac:dyDescent="0.3">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2.75" customHeight="1" x14ac:dyDescent="0.3">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2.75" customHeight="1" x14ac:dyDescent="0.3">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2.75" customHeight="1" x14ac:dyDescent="0.3">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2.75" customHeight="1" x14ac:dyDescent="0.3">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2.75" customHeight="1" x14ac:dyDescent="0.3">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2.75" customHeight="1" x14ac:dyDescent="0.3">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2.75" customHeight="1" x14ac:dyDescent="0.3">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2.75" customHeight="1" x14ac:dyDescent="0.3">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2.75" customHeight="1" x14ac:dyDescent="0.3">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2.75" customHeight="1" x14ac:dyDescent="0.3">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2.75" customHeight="1" x14ac:dyDescent="0.3">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2.75" customHeight="1" x14ac:dyDescent="0.3">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2.75" customHeight="1" x14ac:dyDescent="0.3">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2.75" customHeight="1" x14ac:dyDescent="0.3">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2.75" customHeight="1" x14ac:dyDescent="0.3">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2.75" customHeight="1" x14ac:dyDescent="0.3">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2.75" customHeight="1" x14ac:dyDescent="0.3">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2.75" customHeight="1" x14ac:dyDescent="0.3">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2.75" customHeight="1" x14ac:dyDescent="0.3">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2.75" customHeight="1" x14ac:dyDescent="0.3">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2.75" customHeight="1" x14ac:dyDescent="0.3">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2.75" customHeight="1" x14ac:dyDescent="0.3">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2.75" customHeight="1" x14ac:dyDescent="0.3">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2.75" customHeight="1" x14ac:dyDescent="0.3">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2.75" customHeight="1" x14ac:dyDescent="0.3">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2.75" customHeight="1" x14ac:dyDescent="0.3">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2.75" customHeight="1" x14ac:dyDescent="0.3">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2.75" customHeight="1" x14ac:dyDescent="0.3">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2.75" customHeight="1" x14ac:dyDescent="0.3">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2.75" customHeight="1" x14ac:dyDescent="0.3">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2.75" customHeight="1" x14ac:dyDescent="0.3">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2.75" customHeight="1" x14ac:dyDescent="0.3">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2.75" customHeight="1" x14ac:dyDescent="0.3">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2.75" customHeight="1" x14ac:dyDescent="0.3">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2.75" customHeight="1" x14ac:dyDescent="0.3">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2.75" customHeight="1" x14ac:dyDescent="0.3">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2.75" customHeight="1" x14ac:dyDescent="0.3">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2.75" customHeight="1" x14ac:dyDescent="0.3">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2.75" customHeight="1" x14ac:dyDescent="0.3">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2.75" customHeight="1" x14ac:dyDescent="0.3">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2.75" customHeight="1" x14ac:dyDescent="0.3">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2.75" customHeight="1" x14ac:dyDescent="0.3">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2.75" customHeight="1" x14ac:dyDescent="0.3">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2.75" customHeight="1" x14ac:dyDescent="0.3">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2.75" customHeight="1" x14ac:dyDescent="0.3">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2.75" customHeight="1" x14ac:dyDescent="0.3">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2.75" customHeight="1" x14ac:dyDescent="0.3">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2.75" customHeight="1" x14ac:dyDescent="0.3">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2.75" customHeight="1" x14ac:dyDescent="0.3">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2.75" customHeight="1" x14ac:dyDescent="0.3">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2.75" customHeight="1" x14ac:dyDescent="0.3">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2.75" customHeight="1" x14ac:dyDescent="0.3">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2.75" customHeight="1" x14ac:dyDescent="0.3">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2.75" customHeight="1" x14ac:dyDescent="0.3">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2.75" customHeight="1" x14ac:dyDescent="0.3">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2.75" customHeight="1" x14ac:dyDescent="0.3">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2.75" customHeight="1" x14ac:dyDescent="0.3">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2.75" customHeight="1" x14ac:dyDescent="0.3">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2.75" customHeight="1" x14ac:dyDescent="0.3">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2.75" customHeight="1" x14ac:dyDescent="0.3">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2.75" customHeight="1" x14ac:dyDescent="0.3">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2.75" customHeight="1" x14ac:dyDescent="0.3">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2.75" customHeight="1" x14ac:dyDescent="0.3">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2.75" customHeight="1" x14ac:dyDescent="0.3">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2.75" customHeight="1" x14ac:dyDescent="0.3">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2.75" customHeight="1" x14ac:dyDescent="0.3">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2.75" customHeight="1" x14ac:dyDescent="0.3">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2.75" customHeight="1" x14ac:dyDescent="0.3">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2.75" customHeight="1" x14ac:dyDescent="0.3">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2.75" customHeight="1" x14ac:dyDescent="0.3">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2.75" customHeight="1" x14ac:dyDescent="0.3">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2.75" customHeight="1" x14ac:dyDescent="0.3">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2.75" customHeight="1" x14ac:dyDescent="0.3">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2.75" customHeight="1" x14ac:dyDescent="0.3">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2.75" customHeight="1" x14ac:dyDescent="0.3">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2.75" customHeight="1" x14ac:dyDescent="0.3">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2.75" customHeight="1" x14ac:dyDescent="0.3">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2.75" customHeight="1" x14ac:dyDescent="0.3">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2.75" customHeight="1" x14ac:dyDescent="0.3">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2.75" customHeight="1" x14ac:dyDescent="0.3">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2.75" customHeight="1" x14ac:dyDescent="0.3">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2.75" customHeight="1" x14ac:dyDescent="0.3">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2.75" customHeight="1" x14ac:dyDescent="0.3">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2.75" customHeight="1" x14ac:dyDescent="0.3">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2.75" customHeight="1" x14ac:dyDescent="0.3">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2.75" customHeight="1" x14ac:dyDescent="0.3">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2.75" customHeight="1" x14ac:dyDescent="0.3">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2.75" customHeight="1" x14ac:dyDescent="0.3">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2.75" customHeight="1" x14ac:dyDescent="0.3">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2.75" customHeight="1" x14ac:dyDescent="0.3">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2.75" customHeight="1" x14ac:dyDescent="0.3">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2.75" customHeight="1" x14ac:dyDescent="0.3">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2.75" customHeight="1" x14ac:dyDescent="0.3">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2.75" customHeight="1" x14ac:dyDescent="0.3">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2.75" customHeight="1" x14ac:dyDescent="0.3">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2.75" customHeight="1" x14ac:dyDescent="0.3">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2.75" customHeight="1" x14ac:dyDescent="0.3">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2.75" customHeight="1" x14ac:dyDescent="0.3">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2.75" customHeight="1" x14ac:dyDescent="0.3">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2.75" customHeight="1" x14ac:dyDescent="0.3">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2.75" customHeight="1" x14ac:dyDescent="0.3">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2.75" customHeight="1" x14ac:dyDescent="0.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2.75" customHeight="1" x14ac:dyDescent="0.3">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2.75" customHeight="1" x14ac:dyDescent="0.3">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2.75" customHeight="1" x14ac:dyDescent="0.3">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2.75" customHeight="1" x14ac:dyDescent="0.3">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2.75" customHeight="1" x14ac:dyDescent="0.3">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2.75" customHeight="1" x14ac:dyDescent="0.3">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2.75" customHeight="1" x14ac:dyDescent="0.3">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2.75" customHeight="1" x14ac:dyDescent="0.3">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2.75" customHeight="1" x14ac:dyDescent="0.3">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2.75" customHeight="1" x14ac:dyDescent="0.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2.75" customHeight="1" x14ac:dyDescent="0.3">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2.75" customHeight="1" x14ac:dyDescent="0.3">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2.75" customHeight="1" x14ac:dyDescent="0.3">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2.75" customHeight="1" x14ac:dyDescent="0.3">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2.75" customHeight="1" x14ac:dyDescent="0.3">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2.75" customHeight="1" x14ac:dyDescent="0.3">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2.75" customHeight="1" x14ac:dyDescent="0.3">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2.75" customHeight="1" x14ac:dyDescent="0.3">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2.75" customHeight="1" x14ac:dyDescent="0.3">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2.75" customHeight="1" x14ac:dyDescent="0.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2.75" customHeight="1" x14ac:dyDescent="0.3">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2.75" customHeight="1" x14ac:dyDescent="0.3">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2.75" customHeight="1" x14ac:dyDescent="0.3">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2.75" customHeight="1" x14ac:dyDescent="0.3">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2.75" customHeight="1" x14ac:dyDescent="0.3">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2.75" customHeight="1" x14ac:dyDescent="0.3">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2.75" customHeight="1" x14ac:dyDescent="0.3">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2.75" customHeight="1" x14ac:dyDescent="0.3">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2.75" customHeight="1" x14ac:dyDescent="0.3">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2.75" customHeight="1" x14ac:dyDescent="0.3">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2.75" customHeight="1" x14ac:dyDescent="0.3">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2.75" customHeight="1" x14ac:dyDescent="0.3">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2.75" customHeight="1" x14ac:dyDescent="0.3">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2.75" customHeight="1" x14ac:dyDescent="0.3">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2.75" customHeight="1" x14ac:dyDescent="0.3">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2.75" customHeight="1" x14ac:dyDescent="0.3">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2.75" customHeight="1" x14ac:dyDescent="0.3">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2.75" customHeight="1" x14ac:dyDescent="0.3">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2.75" customHeight="1" x14ac:dyDescent="0.3">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2.75" customHeight="1" x14ac:dyDescent="0.3">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2.75" customHeight="1" x14ac:dyDescent="0.3">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2.75" customHeight="1" x14ac:dyDescent="0.3">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2.75" customHeight="1" x14ac:dyDescent="0.3">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2.75" customHeight="1" x14ac:dyDescent="0.3">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2.75" customHeight="1" x14ac:dyDescent="0.3">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2.75" customHeight="1" x14ac:dyDescent="0.3">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2.75" customHeight="1" x14ac:dyDescent="0.3">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2.75" customHeight="1" x14ac:dyDescent="0.3">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2.75" customHeight="1" x14ac:dyDescent="0.3">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2.75" customHeight="1" x14ac:dyDescent="0.3">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2.75" customHeight="1" x14ac:dyDescent="0.3">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2.75" customHeight="1" x14ac:dyDescent="0.3">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2.75" customHeight="1" x14ac:dyDescent="0.3">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2.75" customHeight="1" x14ac:dyDescent="0.3">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2.75" customHeight="1" x14ac:dyDescent="0.3">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2.75" customHeight="1" x14ac:dyDescent="0.3">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2.75" customHeight="1" x14ac:dyDescent="0.3">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2.75" customHeight="1" x14ac:dyDescent="0.3">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2.75" customHeight="1" x14ac:dyDescent="0.3">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2.75" customHeight="1" x14ac:dyDescent="0.3">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2.75" customHeight="1" x14ac:dyDescent="0.3">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2.75" customHeight="1" x14ac:dyDescent="0.3">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2.75" customHeight="1" x14ac:dyDescent="0.3">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2.75" customHeight="1" x14ac:dyDescent="0.3">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2.75" customHeight="1" x14ac:dyDescent="0.3">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2.75" customHeight="1" x14ac:dyDescent="0.3">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2.75" customHeight="1" x14ac:dyDescent="0.3">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2.75" customHeight="1" x14ac:dyDescent="0.3">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2.75" customHeight="1" x14ac:dyDescent="0.3">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2.75" customHeight="1" x14ac:dyDescent="0.3">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2.75" customHeight="1" x14ac:dyDescent="0.3">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2.75" customHeight="1" x14ac:dyDescent="0.3">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2.75" customHeight="1" x14ac:dyDescent="0.3">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2.75" customHeight="1" x14ac:dyDescent="0.3">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2.75" customHeight="1" x14ac:dyDescent="0.3">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2.75" customHeight="1" x14ac:dyDescent="0.3">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2.75" customHeight="1" x14ac:dyDescent="0.3">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2.75" customHeight="1" x14ac:dyDescent="0.3">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2.75" customHeight="1" x14ac:dyDescent="0.3">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2.75" customHeight="1" x14ac:dyDescent="0.3">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2.75" customHeight="1" x14ac:dyDescent="0.3">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2.75" customHeight="1" x14ac:dyDescent="0.3">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2.75" customHeight="1" x14ac:dyDescent="0.3">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2.75" customHeight="1" x14ac:dyDescent="0.3">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2.75" customHeight="1" x14ac:dyDescent="0.3">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2.75" customHeight="1" x14ac:dyDescent="0.3">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2.75" customHeight="1" x14ac:dyDescent="0.3">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2.75" customHeight="1" x14ac:dyDescent="0.3">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2.75" customHeight="1" x14ac:dyDescent="0.3">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2.75" customHeight="1" x14ac:dyDescent="0.3">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2.75" customHeight="1" x14ac:dyDescent="0.3">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2.75" customHeight="1" x14ac:dyDescent="0.3">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2.75" customHeight="1" x14ac:dyDescent="0.3">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2.75" customHeight="1" x14ac:dyDescent="0.3">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2.75" customHeight="1" x14ac:dyDescent="0.3">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2.75" customHeight="1" x14ac:dyDescent="0.3">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2.75" customHeight="1" x14ac:dyDescent="0.3">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2.75" customHeight="1" x14ac:dyDescent="0.3">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2.75" customHeight="1" x14ac:dyDescent="0.3">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2.75" customHeight="1" x14ac:dyDescent="0.3">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2.75" customHeight="1" x14ac:dyDescent="0.3">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2.75" customHeight="1" x14ac:dyDescent="0.3">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2.75" customHeight="1" x14ac:dyDescent="0.3">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2.75" customHeight="1" x14ac:dyDescent="0.3">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2.75" customHeight="1" x14ac:dyDescent="0.3">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2.75" customHeight="1" x14ac:dyDescent="0.3">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2.75" customHeight="1" x14ac:dyDescent="0.3">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2.75" customHeight="1" x14ac:dyDescent="0.3">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2.75" customHeight="1" x14ac:dyDescent="0.3">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2.75" customHeight="1" x14ac:dyDescent="0.3">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2.75" customHeight="1" x14ac:dyDescent="0.3">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2.75" customHeight="1" x14ac:dyDescent="0.3">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2.75" customHeight="1" x14ac:dyDescent="0.3">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2.75" customHeight="1" x14ac:dyDescent="0.3">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2.75" customHeight="1" x14ac:dyDescent="0.3">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2.75" customHeight="1" x14ac:dyDescent="0.3">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2.75" customHeight="1" x14ac:dyDescent="0.3">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2.75" customHeight="1" x14ac:dyDescent="0.3">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2.75" customHeight="1" x14ac:dyDescent="0.3">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2.75" customHeight="1" x14ac:dyDescent="0.3">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2.75" customHeight="1" x14ac:dyDescent="0.3">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2.75" customHeight="1" x14ac:dyDescent="0.3">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2.75" customHeight="1" x14ac:dyDescent="0.3">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2.75" customHeight="1" x14ac:dyDescent="0.3">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2.75" customHeight="1" x14ac:dyDescent="0.3">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2.75" customHeight="1" x14ac:dyDescent="0.3">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2.75" customHeight="1" x14ac:dyDescent="0.3">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2.75" customHeight="1" x14ac:dyDescent="0.3">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spans="1:26" ht="12.75" customHeight="1" x14ac:dyDescent="0.3">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spans="1:26" ht="12.75" customHeight="1" x14ac:dyDescent="0.3">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spans="1:26" ht="12.75" customHeight="1" x14ac:dyDescent="0.3">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spans="1:26" ht="12.75" customHeight="1" x14ac:dyDescent="0.3">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spans="1:26" ht="12.75" customHeight="1" x14ac:dyDescent="0.3">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spans="1:26" ht="12.75" customHeight="1" x14ac:dyDescent="0.3">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spans="1:26" ht="12.75" customHeight="1" x14ac:dyDescent="0.3">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row r="999" spans="1:26" ht="12.75" customHeight="1" x14ac:dyDescent="0.3">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row>
    <row r="1000" spans="1:26" ht="12.75" customHeight="1" x14ac:dyDescent="0.3">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row>
  </sheetData>
  <mergeCells count="8">
    <mergeCell ref="C6:H6"/>
    <mergeCell ref="B1:H1"/>
    <mergeCell ref="C3:D3"/>
    <mergeCell ref="E3:F3"/>
    <mergeCell ref="C4:D4"/>
    <mergeCell ref="E4:F4"/>
    <mergeCell ref="C5:D5"/>
    <mergeCell ref="E5:F5"/>
  </mergeCells>
  <pageMargins left="0.7" right="0.7" top="0.75" bottom="0.75" header="0.511811023622047" footer="0"/>
  <pageSetup orientation="landscape" horizontalDpi="300" verticalDpi="300"/>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TestDesign</vt:lpstr>
      <vt:lpstr>Voucher Va Ma Giam Gia</vt:lpstr>
      <vt:lpstr>Order Management</vt:lpstr>
      <vt:lpstr>Review</vt:lpstr>
      <vt:lpstr>Test Report</vt:lpstr>
      <vt:lpstr>TestDesign!_Toc301930468</vt:lpstr>
      <vt:lpstr>TestDesign!_Toc301930478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dc:creator>
  <cp:lastModifiedBy>23130194 - Nguyễn Võ Quang Minh</cp:lastModifiedBy>
  <dcterms:created xsi:type="dcterms:W3CDTF">2015-06-05T18:17:20Z</dcterms:created>
  <dcterms:modified xsi:type="dcterms:W3CDTF">2026-10-30T01:51:01Z</dcterms:modified>
</cp:coreProperties>
</file>