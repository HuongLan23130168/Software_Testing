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HỌC KỲ 7\Software Testing\Project\ASM6\"/>
    </mc:Choice>
  </mc:AlternateContent>
  <xr:revisionPtr revIDLastSave="0" documentId="13_ncr:1_{89F61EF6-0BB8-4437-9755-FC7C4D11C252}" xr6:coauthVersionLast="47" xr6:coauthVersionMax="47" xr10:uidLastSave="{00000000-0000-0000-0000-000000000000}"/>
  <bookViews>
    <workbookView xWindow="-108" yWindow="-108" windowWidth="23256" windowHeight="12456" activeTab="1" xr2:uid="{00000000-000D-0000-FFFF-FFFF00000000}"/>
  </bookViews>
  <sheets>
    <sheet name="TestDesign" sheetId="3" r:id="rId1"/>
    <sheet name="Voucher va Ma giam gia" sheetId="2" r:id="rId2"/>
  </sheets>
  <definedNames>
    <definedName name="_xlnm._FilterDatabase" localSheetId="0" hidden="1">TestDesign!$A$1:$F$867</definedName>
    <definedName name="_Toc301930468" localSheetId="0">TestDesign!$B$216</definedName>
    <definedName name="_Toc301930478" localSheetId="0">TestDesign!$B$376</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2" l="1"/>
  <c r="E6" i="2"/>
  <c r="C6" i="2" s="1"/>
  <c r="D6" i="2"/>
  <c r="B6" i="2"/>
  <c r="A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8" authorId="0" shapeId="0" xr:uid="{5E615A4C-D4D2-420A-B398-D9D14610B40B}">
      <text>
        <r>
          <rPr>
            <sz val="10"/>
            <rFont val="Arial"/>
            <family val="2"/>
          </rPr>
          <t>======
ID#AAAAHWfBFy8
    (2020-11-28 06:09:48)
Pass
Fail
Untested
N/A</t>
        </r>
      </text>
    </comment>
  </commentList>
</comments>
</file>

<file path=xl/sharedStrings.xml><?xml version="1.0" encoding="utf-8"?>
<sst xmlns="http://schemas.openxmlformats.org/spreadsheetml/2006/main" count="306" uniqueCount="185">
  <si>
    <t>Module Code</t>
  </si>
  <si>
    <t>Voucher và Ma giam gia</t>
  </si>
  <si>
    <t>Passed</t>
  </si>
  <si>
    <t>Test requirement</t>
  </si>
  <si>
    <t>Failed</t>
  </si>
  <si>
    <t>Tester</t>
  </si>
  <si>
    <t>Nguyen Vo Quang Minh</t>
  </si>
  <si>
    <t>Blocked</t>
  </si>
  <si>
    <t>Untested</t>
  </si>
  <si>
    <t>Skipped</t>
  </si>
  <si>
    <t>Number of Test cases</t>
  </si>
  <si>
    <t>ID</t>
  </si>
  <si>
    <t>Test Case Description</t>
  </si>
  <si>
    <t>Test Case Procedure</t>
  </si>
  <si>
    <t>Expected Output</t>
  </si>
  <si>
    <t>Inter-test case Dependence</t>
  </si>
  <si>
    <t>Result</t>
  </si>
  <si>
    <t>Test date</t>
  </si>
  <si>
    <t>Note</t>
  </si>
  <si>
    <t>Voucher_Access_01</t>
  </si>
  <si>
    <t>Kiểm tra truy cập Kho voucher bằng cách click [Voucher] trên thanh header</t>
  </si>
  <si>
    <t>Pre-condition:
+ Đã đăng nhập tài khoản khách hàng test
+ Tab [Chưa lấy] còn voucher chưa lấy (ví dụ 5 voucher), tab [Đã lấy] chưa có voucher (0)
Step:
1. Mở trang chủ https://www.dienmayxanh.com
2. Click [Voucher] trên thanh header</t>
  </si>
  <si>
    <t>1. Trang chủ hiển thị, header có tên tài khoản "Anh Minh"
2. Chuyển đến trang Kho voucher (URL /ca-nhan/vi-voucher), tiêu đề "KHO VOUCHER" và mục [Kho voucher] ở menu trái được làm nổi bật</t>
  </si>
  <si>
    <t>Đăng nhập tài khoản khách hàng test</t>
  </si>
  <si>
    <t>Voucher_Access_02</t>
  </si>
  <si>
    <t>Kiểm tra truy cập Kho voucher bằng menu trái của trang cá nhân</t>
  </si>
  <si>
    <t>Pre-condition:
+ Đã đăng nhập tài khoản khách hàng test
+ Tab [Chưa lấy] còn voucher chưa lấy (ví dụ 5 voucher), tab [Đã lấy] chưa có voucher (0)
Step:
1. Vào trang [Đơn hàng đã mua]
2. Click [Kho voucher] ở menu trái</t>
  </si>
  <si>
    <t>1. Trang Đơn hàng đã mua hiển thị
2. Chuyển sang trang Kho voucher; menu trái làm nổi bật [Kho voucher]; không phải tải lại toàn bộ gây nháy trắng bất thường</t>
  </si>
  <si>
    <t>Voucher_Access_03</t>
  </si>
  <si>
    <t>Kiểm tra click [Voucher] trên header khi chưa đăng nhập</t>
  </si>
  <si>
    <t>Pre-condition:
+ Chưa đăng nhập (dùng cửa sổ ẩn danh của Cốc Cốc hoặc đã đăng xuất)
Step:
1. Mở trang chủ
2. Click [Voucher] trên header</t>
  </si>
  <si>
    <t>1. Trang chủ hiển thị, header có nút [Đăng nhập]
2. Chuyển sang trang đăng nhập (URL dạng /dang-nhap?callback=/ca-nhan/vi-voucher); không hiển thị dữ liệu voucher</t>
  </si>
  <si>
    <t>Không (chưa đăng nhập)</t>
  </si>
  <si>
    <t>Link [Voucher] của khách chưa đăng nhập trỏ tới /dang-nhap?callback=/ca-nhan/vi-voucher (đã kiểm tra trong HTML trang sản phẩm).</t>
  </si>
  <si>
    <t>Voucher_Access_04</t>
  </si>
  <si>
    <t>Kiểm tra sau khi đăng nhập thành công, hệ thống đưa người dùng về Kho voucher (callback)</t>
  </si>
  <si>
    <t>Pre-condition:
+ Chưa đăng nhập (dùng cửa sổ ẩn danh của Cốc Cốc hoặc đã đăng xuất)
Step:
1. Thực hiện Voucher_Access_03 để tới trang đăng nhập
2. Nhập SĐT tài khoản test, lấy OTP từ app Quà Tặng VIP, nhập OTP và xác nhận</t>
  </si>
  <si>
    <t>1. Trang đăng nhập hiển thị
2. Đăng nhập thành công và tự chuyển về trang Kho voucher (tiêu đề "KHO VOUCHER")</t>
  </si>
  <si>
    <t>Đối chiếu hành vi callback thực tế. OTP lấy qua app Quà Tặng VIP nên cần chuẩn bị điện thoại trước khi chạy.</t>
  </si>
  <si>
    <t>Voucher_Access_05</t>
  </si>
  <si>
    <t>Kiểm tra truy cập trực tiếp URL Kho voucher khi chưa đăng nhập</t>
  </si>
  <si>
    <t>Pre-condition:
+ Chưa đăng nhập (dùng cửa sổ ẩn danh của Cốc Cốc hoặc đã đăng xuất)
Step:
1. Mở cửa sổ ẩn danh, nhập URL https://www.dienmayxanh.com/ca-nhan/vi-voucher và Enter</t>
  </si>
  <si>
    <t>1. Hệ thống yêu cầu đăng nhập (chuyển sang trang đăng nhập); không hiển thị bất kỳ voucher nào</t>
  </si>
  <si>
    <t>Voucher_Display_01</t>
  </si>
  <si>
    <t>Kiểm tra giao diện tổng thể trang Kho voucher</t>
  </si>
  <si>
    <t>Pre-condition:
+ Đã đăng nhập tài khoản khách hàng test
+ Tab [Chưa lấy] còn voucher chưa lấy (ví dụ 5 voucher), tab [Đã lấy] chưa có voucher (0)
Step:
1. Vào trang Kho voucher
2. Quan sát các thành phần trên trang</t>
  </si>
  <si>
    <t>1. Trang Kho voucher hiển thị
2. Có đủ: nút quay lại "&lt;" + tiêu đề "KHO VOUCHER"; 2 tab [Chưa lấy (n)] / [Đã lấy (n)]; menu trái gồm [Đơn hàng đã mua], [Kho voucher], [Thông tin của tôi], [Đăng xuất]; khối thông tin tài khoản (tên, SĐT, Tổng điểm tích lũy). Không lỗi chính tả, không vỡ bố cục, font và màu thống nhất</t>
  </si>
  <si>
    <t>Voucher_Display_02</t>
  </si>
  <si>
    <t>Kiểm tra tab mặc định khi vào Kho voucher</t>
  </si>
  <si>
    <t>Pre-condition:
+ Đã đăng nhập tài khoản khách hàng test
+ Tab [Chưa lấy] còn voucher chưa lấy (ví dụ 5 voucher), tab [Đã lấy] chưa có voucher (0)
Step:
1. Vào trang Kho voucher</t>
  </si>
  <si>
    <t>1. Tab [Chưa lấy (n)] được chọn mặc định (chữ xanh, có gạch chân); tab [Đã lấy (n)] ở trạng thái chưa chọn; danh sách hiển thị các voucher chưa lấy</t>
  </si>
  <si>
    <t>Voucher_Display_03</t>
  </si>
  <si>
    <t>Kiểm tra số lượng trong tên tab khớp với số voucher thực tế hiển thị</t>
  </si>
  <si>
    <t>Pre-condition:
+ Đã đăng nhập tài khoản khách hàng test
+ Tab [Chưa lấy] còn voucher chưa lấy (ví dụ 5 voucher), tab [Đã lấy] chưa có voucher (0)
Step:
1. Vào tab [Chưa lấy (n)], đếm số card voucher
2. Click tab [Đã lấy (n)], đếm số card voucher</t>
  </si>
  <si>
    <t>1. Số card = n ở tab [Chưa lấy] (ví dụ 5 card khi hiển thị "Chưa lấy (5)")
2. Số card = n ở tab [Đã lấy] (ví dụ 0 card khi hiển thị "Đã lấy (0)")</t>
  </si>
  <si>
    <t>Voucher_Display_04</t>
  </si>
  <si>
    <t>Kiểm tra nội dung hiển thị của mỗi card voucher ở tab [Chưa lấy]</t>
  </si>
  <si>
    <t>Pre-condition:
+ Đã đăng nhập tài khoản khách hàng test
+ Tab [Chưa lấy] còn voucher chưa lấy (ví dụ 5 voucher), tab [Đã lấy] chưa có voucher (0)
Step:
1. Vào tab [Chưa lấy]
2. Quan sát từng card voucher</t>
  </si>
  <si>
    <t>1. Tab [Chưa lấy] hiển thị danh sách voucher
2. Mỗi card có: biểu tượng, tiêu đề voucher, mô tả điều kiện (mức giảm tối đa, ngành hàng áp dụng, website áp dụng ĐMX/TGDĐ/TopZone) và nút [Lấy mã]. Nội dung không bị tràn khỏi card, không chồng chéo</t>
  </si>
  <si>
    <t>Ví dụ voucher: "Tối đa 300,000đ mua Điện gia dụng...", "PMH giảm 6% tối đa 800,000đ ...". Lưu ý định dạng tiền: card dùng "300,000đ" (dấu phẩy) trong khi trang Đơn hàng dùng "650.000đ" (dấu chấm) - ghi nhận nếu không thống nhất.</t>
  </si>
  <si>
    <t>Voucher_Display_05</t>
  </si>
  <si>
    <t>Kiểm tra tiêu đề voucher quá dài bị cắt (dấu "...") có cách xem đầy đủ</t>
  </si>
  <si>
    <t>Pre-condition:
+ Đã đăng nhập tài khoản khách hàng test
+ Tab [Chưa lấy] còn voucher chưa lấy (ví dụ 5 voucher), tab [Đã lấy] chưa có voucher (0)
Step:
1. Vào tab [Chưa lấy]
2. Rê chuột / click vào tiêu đề voucher đang bị cắt "..."</t>
  </si>
  <si>
    <t>1. Tiêu đề dài bị cắt bằng dấu "...", không làm vỡ card
2. Người dùng xem được nội dung đầy đủ (tooltip/mở rộng) hoặc mô tả bên dưới đã đủ ý; không bị mất thông tin quan trọng như mức giảm, điều kiện</t>
  </si>
  <si>
    <t>Voucher_Display_06</t>
  </si>
  <si>
    <t>Kiểm tra tab [Đã lấy] khi chưa lấy voucher nào</t>
  </si>
  <si>
    <t>Pre-condition:
+ Đã đăng nhập tài khoản khách hàng test
+ Tab [Chưa lấy] còn voucher chưa lấy (ví dụ 5 voucher), tab [Đã lấy] chưa có voucher (0)
Step:
1. Click tab [Đã lấy (0)]</t>
  </si>
  <si>
    <t>1. Tab [Đã lấy] được chọn (làm nổi bật), danh sách trống và hiển thị thông báo/trạng thái rỗng phù hợp; không lỗi, không hiện khoảng trắng bất thường</t>
  </si>
  <si>
    <t>Voucher_Display_07</t>
  </si>
  <si>
    <t>Kiểm tra chuyển qua lại giữa 2 tab nhiều lần</t>
  </si>
  <si>
    <t>Pre-condition:
+ Đã đăng nhập tài khoản khách hàng test
+ Tab [Chưa lấy] còn voucher chưa lấy (ví dụ 5 voucher), tab [Đã lấy] chưa có voucher (0)
Step:
1. Click tab [Đã lấy]
2. Click tab [Chưa lấy]
3. Lặp lại bước 1-2 khoảng 5 lần</t>
  </si>
  <si>
    <t>1. Hiển thị nội dung tab [Đã lấy]
2. Hiển thị lại đúng các voucher chưa lấy
3. Mỗi lần chuyển tab nội dung đúng, không nhân đôi card, số lượng trong tên tab không đổi</t>
  </si>
  <si>
    <t>Voucher_Display_08</t>
  </si>
  <si>
    <t>Kiểm tra nút quay lại "&lt;" cạnh tiêu đề KHO VOUCHER</t>
  </si>
  <si>
    <t>Pre-condition:
+ Đã đăng nhập tài khoản khách hàng test
+ Tab [Chưa lấy] còn voucher chưa lấy (ví dụ 5 voucher), tab [Đã lấy] chưa có voucher (0)
Step:
1. Từ trang [Đơn hàng đã mua] vào Kho voucher
2. Click nút "&lt;" cạnh tiêu đề</t>
  </si>
  <si>
    <t>1. Kho voucher hiển thị
2. Quay về trang trước đó (không thoát khỏi website, không lỗi)</t>
  </si>
  <si>
    <t>Voucher_Claim_01</t>
  </si>
  <si>
    <t>Kiểm tra lấy mã thành công 1 voucher</t>
  </si>
  <si>
    <t>Pre-condition:
+ Đã đăng nhập tài khoản khách hàng test
+ Tab [Chưa lấy] còn voucher chưa lấy (ví dụ 5 voucher), tab [Đã lấy] chưa có voucher (0)
Step:
1. Vào tab [Chưa lấy (5)]
2. Click [Lấy mã] ở voucher đầu tiên</t>
  </si>
  <si>
    <t>1. Kho voucher hiển thị 5 voucher chưa lấy
2. Hiển thị thông báo "Nhận mã thành công"; voucher vừa lấy biến mất khỏi tab [Chưa lấy]; tên tab đổi thành [Chưa lấy (4)]</t>
  </si>
  <si>
    <t>Lấy mã làm thay đổi dữ liệu thật của tài khoản và không thể hoàn tác - chỉ chạy một lần, nên thực hiện sau khi đã kiểm thử các case hiển thị. Thông báo "Nhận mã thành công" có trong HTML trang chủ, cần đối chiếu giao diện thực tế.</t>
  </si>
  <si>
    <t>Voucher_Claim_02</t>
  </si>
  <si>
    <t>Kiểm tra voucher đã lấy xuất hiện đúng ở tab [Đã lấy]</t>
  </si>
  <si>
    <t>Pre-condition:
+ Đã đăng nhập tài khoản khách hàng test
+ Tab [Chưa lấy] còn voucher chưa lấy (ví dụ 5 voucher), tab [Đã lấy] chưa có voucher (0)
Step:
1. Click tab [Đã lấy (1)]
2. So sánh tiêu đề và mô tả voucher với voucher đã lấy ở Voucher_Claim_01</t>
  </si>
  <si>
    <t>1. Tên tab là [Đã lấy (1)] và có đúng 1 card voucher
2. Nội dung voucher giống hệt trước khi lấy; không còn nút [Lấy mã] hoặc nút được thay bằng trạng thái phù hợp</t>
  </si>
  <si>
    <t>Voucher_Claim_03</t>
  </si>
  <si>
    <t>Kiểm tra trạng thái voucher đã lấy được lưu lại sau khi tải lại trang/đăng nhập lại</t>
  </si>
  <si>
    <t>Pre-condition:
+ Đã đăng nhập tài khoản khách hàng test
+ Tab [Chưa lấy] còn voucher chưa lấy (ví dụ 5 voucher), tab [Đã lấy] chưa có voucher (0)
Step:
1. Nhấn F5 tại trang Kho voucher
2. Click [Đăng xuất], đăng nhập lại và vào Kho voucher</t>
  </si>
  <si>
    <t>1. Trang tải lại: voucher đã lấy vẫn ở tab [Đã lấy], không quay lại [Chưa lấy]
2. Dữ liệu vẫn đúng sau khi đăng nhập lại (Chưa lấy (4), Đã lấy (1))</t>
  </si>
  <si>
    <t>Voucher_Claim_04</t>
  </si>
  <si>
    <t>Kiểm tra lấy hết toàn bộ voucher chưa lấy</t>
  </si>
  <si>
    <t>Pre-condition:
+ Đã đăng nhập tài khoản khách hàng test
+ Tab [Chưa lấy] còn voucher chưa lấy (ví dụ 5 voucher), tab [Đã lấy] chưa có voucher (0)
Step:
1. Lần lượt click [Lấy mã] ở tất cả voucher còn lại trong tab [Chưa lấy]
2. Quan sát tab [Chưa lấy] và [Đã lấy]</t>
  </si>
  <si>
    <t>1. Mỗi lần lấy đều báo thành công, số lượng giảm dần
2. Tab [Chưa lấy (0)] hiển thị trạng thái rỗng phù hợp; tab [Đã lấy (5)] hiển thị đủ 5 voucher</t>
  </si>
  <si>
    <t>Làm cạn voucher của tài khoản test; chỉ chạy khi chấp nhận mất voucher.</t>
  </si>
  <si>
    <t>Voucher_Claim_05</t>
  </si>
  <si>
    <t>Kiểm tra click nhanh liên tiếp nhiều lần vào [Lấy mã] của cùng 1 voucher</t>
  </si>
  <si>
    <t>Pre-condition:
+ Đã đăng nhập tài khoản khách hàng test
+ Tab [Chưa lấy] còn voucher chưa lấy (ví dụ 5 voucher), tab [Đã lấy] chưa có voucher (0)
Step:
1. Click nhanh 3-5 lần liên tiếp vào [Lấy mã] của 1 voucher chưa lấy</t>
  </si>
  <si>
    <t>1. Chỉ nhận mã 1 lần; không hiện nhiều thông báo thành công/lỗi chồng nhau; số lượng giảm đúng 1 (ví dụ 5 → 4); không có card bị nhân đôi ở tab [Đã lấy]</t>
  </si>
  <si>
    <t>Voucher_Claim_06</t>
  </si>
  <si>
    <t>Kiểm tra lấy cùng 1 voucher từ 2 tab trình duyệt</t>
  </si>
  <si>
    <t>Pre-condition:
+ Đã đăng nhập tài khoản khách hàng test
+ Tab [Chưa lấy] còn voucher chưa lấy (ví dụ 5 voucher), tab [Đã lấy] chưa có voucher (0)
Step:
1. Mở Kho voucher ở 2 tab (tab 1 và tab 2)
2. Tab 1: click [Lấy mã] voucher A
3. Tab 2 (chưa tải lại): click [Lấy mã] voucher A</t>
  </si>
  <si>
    <t>1. Cả 2 tab hiển thị voucher A ở tab [Chưa lấy]
2. Tab 1 nhận mã thành công
3. Tab 2 báo voucher đã được lấy hoặc tự cập nhật lại danh sách; tài khoản chỉ sở hữu 1 voucher A; không treo, không lỗi hệ thống</t>
  </si>
  <si>
    <t>Thông báo của tab 2 như thế nào.</t>
  </si>
  <si>
    <t>Voucher_Claim_07</t>
  </si>
  <si>
    <t>Kiểm tra lấy mã khi mất kết nối mạng</t>
  </si>
  <si>
    <t>Pre-condition:
+ Đã đăng nhập tài khoản khách hàng test
+ Tab [Chưa lấy] còn voucher chưa lấy (ví dụ 5 voucher), tab [Đã lấy] chưa có voucher (0)
Step:
1. Mở F12 &gt; Network &gt; chọn Offline
2. Click [Lấy mã] ở 1 voucher
3. Tắt Offline, click [Lấy mã] lại ở voucher đó</t>
  </si>
  <si>
    <t>1. Mạng ngắt
2. Hiển thị thông báo lỗi (dạng "Có lỗi xảy ra - Lỗi hệ thống khi lấy mã, quý khách vui lòng thử lại sau") cùng nút [Tôi đã hiểu]; voucher vẫn ở tab [Chưa lấy]; số lượng không đổi
3. Lấy mã thành công bình thường</t>
  </si>
  <si>
    <t>Thông báo lỗi lấy mã có trong HTML trang chủ. Cách giả lập lỗi bằng DevTools của Cốc Cốc (nền Chromium).</t>
  </si>
  <si>
    <t>Voucher_Claim_08</t>
  </si>
  <si>
    <t>Kiểm tra lấy mã khi phiên đăng nhập đã hết hiệu lực</t>
  </si>
  <si>
    <t>Pre-condition:
+ Đã đăng nhập tài khoản khách hàng test
+ Tab [Chưa lấy] còn voucher chưa lấy (ví dụ 5 voucher), tab [Đã lấy] chưa có voucher (0)
Step:
1. Mở Kho voucher ở tab 1 và một trang bất kỳ ở tab 2
2. Tab 2: Đăng xuất
3. Tab 1 (chưa tải lại): click [Lấy mã]</t>
  </si>
  <si>
    <t>1. Cả 2 tab đang đăng nhập
2. Tab 2 đã đăng xuất
3. Không nhận mã; hệ thống yêu cầu đăng nhập lại hoặc báo lỗi phù hợp; không hiển thị "Nhận mã thành công" sai</t>
  </si>
  <si>
    <t>Voucher_Claim_09</t>
  </si>
  <si>
    <t>Kiểm tra lấy mã khi voucher đã hết lượt hoặc hết hạn trong lúc đang xem</t>
  </si>
  <si>
    <t>Pre-condition:
+ Đã đăng nhập tài khoản khách hàng test
+ Tab [Chưa lấy] còn voucher chưa lấy (ví dụ 5 voucher), tab [Đã lấy] chưa có voucher (0)
Step:
1. Giữ trang Kho voucher mở đến khi voucher hết hạn/hết lượt
2. Click [Lấy mã] của voucher đó</t>
  </si>
  <si>
    <t>1. Kho voucher hiển thị, voucher vẫn còn trên giao diện
2. Hệ thống báo voucher không còn khả dụng (hết hạn/hết lượt); voucher không được thêm vào tab [Đã lấy]</t>
  </si>
  <si>
    <t>Tester không chủ động tạo được tình huống voucher hết hạn/hết lượt. Chạy khi có điều kiện hoặc đánh dấu Skipped.</t>
  </si>
  <si>
    <t>Voucher_Apply_01</t>
  </si>
  <si>
    <t>Kiểm tra voucher đã lấy xuất hiện ở Giỏ hàng/Thanh toán</t>
  </si>
  <si>
    <t>Pre-condition:
+ Đã đăng nhập tài khoản khách hàng test
+ Đã lấy ít nhất 1 voucher (có ở tab [Đã lấy])
+ Chỉ thực hiện đến bước áp dụng mã, KHÔNG đặt hàng
Step:
1. Thêm 1 sản phẩm thuộc ngành hàng phù hợp voucher đã lấy vào giỏ
2. Vào [Giỏ hàng] và tìm mục chọn/nhập mã giảm giá</t>
  </si>
  <si>
    <t>1. Sản phẩm được thêm vào giỏ
2. Voucher đã lấy xuất hiện trong danh sách mã có thể áp dụng</t>
  </si>
  <si>
    <t>Vị trí và giao diện chọn mã ở Giỏ hàng chưa quan sát được.</t>
  </si>
  <si>
    <t>Voucher_Apply_02</t>
  </si>
  <si>
    <t>Kiểm tra áp dụng voucher đủ điều kiện: số tiền giảm tính đúng và không vượt mức tối đa</t>
  </si>
  <si>
    <t>Pre-condition:
+ Đã đăng nhập tài khoản khách hàng test
+ Đã lấy voucher dạng % có mức giảm tối đa
+ Giỏ hàng có sản phẩm thuộc ngành hàng áp dụng
+ KHÔNG đặt hàng
Step:
1. Trong Giỏ hàng, chọn voucher dạng % có mức giảm tối đa (ví dụ giảm 6% tối đa 800,000đ)
2. Thử với giỏ hàng giá trị thấp (giảm &lt; mức tối đa) và giá trị cao (giảm &gt; mức tối đa)</t>
  </si>
  <si>
    <t>1. Voucher được áp dụng, hiển thị dòng giảm giá
2. Giá trị thấp: số tiền giảm = % x giá trị hợp lệ; giá trị cao: số tiền giảm = đúng mức tối đa; Tổng thanh toán cập nhật đúng</t>
  </si>
  <si>
    <t>Chi tiết quy tắc tính giảm giá cần đối chiếu với thể lệ voucher. Cần sản phẩm có giá phù hợp để đạt/không đạt mức tối đa.</t>
  </si>
  <si>
    <t>Voucher_Apply_03</t>
  </si>
  <si>
    <t>Kiểm tra áp dụng voucher sai ngành hàng/không đủ điều kiện</t>
  </si>
  <si>
    <t>Pre-condition:
+ Đã đăng nhập tài khoản khách hàng test
+ Đã lấy voucher cho ngành hàng cụ thể
+ KHÔNG đặt hàng
Step:
1. Trong Giỏ hàng có sản phẩm không thuộc ngành hàng của voucher (ví dụ voucher Điện gia dụng nhưng giỏ chỉ có sản phẩm Apple)
2. Chọn/áp dụng voucher đó</t>
  </si>
  <si>
    <t>1. Giỏ hàng hiển thị
2. Hệ thống không áp dụng voucher, hiển thị lý do rõ ràng; tổng tiền không đổi</t>
  </si>
  <si>
    <t>Voucher_Apply_04</t>
  </si>
  <si>
    <t>Kiểm tra bỏ voucher đã áp dụng</t>
  </si>
  <si>
    <t>Pre-condition:
+ Đã đăng nhập tài khoản khách hàng test
+ Đã lấy voucher hợp lệ
+ KHÔNG đặt hàng
Step:
1. Áp dụng 1 voucher hợp lệ trong Giỏ hàng
2. Bỏ chọn/xóa voucher đó</t>
  </si>
  <si>
    <t>1. Tổng thanh toán đã giảm
2. Dòng giảm giá biến mất, Tổng thanh toán trở về giá trị ban đầu</t>
  </si>
  <si>
    <t>Voucher_Apply_05</t>
  </si>
  <si>
    <t>Kiểm tra voucher sau khi đặt hàng thành công bằng voucher đó</t>
  </si>
  <si>
    <t>Pre-condition:
+ Đã đăng nhập tài khoản khách hàng test
+ Đã lấy voucher hợp lệ
Step:
1. Đặt hàng thành công có áp dụng voucher
2. Vào Kho voucher và kiểm tra trạng thái voucher</t>
  </si>
  <si>
    <t>1. Đơn hàng được tạo
2. Voucher chuyển sang trạng thái đã sử dụng/không còn dùng lại được; tab [Đã lấy] cập nhật đúng</t>
  </si>
  <si>
    <t>Cần đặt đơn thật.</t>
  </si>
  <si>
    <t>Voucher_Security_01</t>
  </si>
  <si>
    <t>Kiểm tra đăng xuất rồi nhấn Back của trình duyệt</t>
  </si>
  <si>
    <t>Pre-condition:
+ Đã đăng nhập tài khoản khách hàng test
+ Tab [Chưa lấy] còn voucher chưa lấy (ví dụ 5 voucher), tab [Đã lấy] chưa có voucher (0)
Step:
1. Tại Kho voucher, click [Đăng xuất] ở menu trái
2. Nhấn nút Back của trình duyệt</t>
  </si>
  <si>
    <t>1. Đăng xuất thành công, về trang chủ/trang đăng nhập
2. Không hiển thị lại dữ liệu Kho voucher (yêu cầu đăng nhập hoặc trang rỗng); không lộ thông tin tài khoản</t>
  </si>
  <si>
    <t>Voucher_Security_02</t>
  </si>
  <si>
    <t>Kiểm tra dữ liệu Kho voucher chỉ thuộc tài khoản đang đăng nhập</t>
  </si>
  <si>
    <t>Pre-condition:
+ Có 2 tài khoản test (A và B)
Step:
1. Đăng nhập tài khoản A, ghi lại danh sách voucher
2. Đăng xuất, đăng nhập tài khoản B, vào Kho voucher</t>
  </si>
  <si>
    <t>1. Danh sách của A được ghi nhận
2. Kho voucher hiển thị đúng dữ liệu của B; không lẫn voucher/điểm tích lũy/tên của A</t>
  </si>
  <si>
    <t>Đăng nhập tài khoản A, sau đó tài khoản B</t>
  </si>
  <si>
    <t>Cần tài khoản thứ hai.</t>
  </si>
  <si>
    <t>Voucher_Security_03</t>
  </si>
  <si>
    <t>Kiểm tra truy cập Kho voucher với tham số URL bất thường</t>
  </si>
  <si>
    <t>Pre-condition:
+ Đã đăng nhập tài khoản khách hàng test
+ Tab [Chưa lấy] còn voucher chưa lấy (ví dụ 5 voucher), tab [Đã lấy] chưa có voucher (0)
Step:
1. Mở URL /ca-nhan/vi-voucher?x=&lt;script&gt;alert(1)&lt;/script&gt;
2. Mở URL /ca-nhan/vi-voucher?tab=999</t>
  </si>
  <si>
    <t>1. Trang hiển thị bình thường, không thực thi script, không hiện popup alert
2. Trang hiển thị bình thường (bỏ qua tham số lạ), không lỗi 500</t>
  </si>
  <si>
    <t>Requirement Level 1</t>
  </si>
  <si>
    <t>Requirement Level 2</t>
  </si>
  <si>
    <t>Requirement Level 3</t>
  </si>
  <si>
    <t>Test Criteria</t>
  </si>
  <si>
    <t>Test Type</t>
  </si>
  <si>
    <t>6.5 Mua hàng</t>
  </si>
  <si>
    <t>6.5.4 Voucher và mã giảm giá</t>
  </si>
  <si>
    <t>Truy cập Kho voucher</t>
  </si>
  <si>
    <t>Function</t>
  </si>
  <si>
    <t>Kỹ thuật: Kiểm thử luồng điều hướng</t>
  </si>
  <si>
    <t>Kỹ thuật: Kiểm thử phân quyền truy cập</t>
  </si>
  <si>
    <t>Hiển thị Kho voucher</t>
  </si>
  <si>
    <t>GUI</t>
  </si>
  <si>
    <t>Kỹ thuật: Phân vùng tương đương (0, n)</t>
  </si>
  <si>
    <t>Kỹ thuật: Kiểm thử giá trị biên độ dài chuỗi</t>
  </si>
  <si>
    <t>Kỹ thuật: Phân vùng tương đương (danh sách rỗng)</t>
  </si>
  <si>
    <t>Lấy mã</t>
  </si>
  <si>
    <t>Kỹ thuật: Chuyển trạng thái (Chưa lấy → Đã lấy)</t>
  </si>
  <si>
    <t>Kỹ thuật: Chuyển trạng thái</t>
  </si>
  <si>
    <t>Kỹ thuật: Giá trị biên (từ n về 0)</t>
  </si>
  <si>
    <t>Kỹ thuật: Kiểm thử đồng thời / chống gửi trùng</t>
  </si>
  <si>
    <t>Kỹ thuật: Kiểm thử xử lý lỗi</t>
  </si>
  <si>
    <t>Kỹ thuật: Kiểm thử phiên đăng nhập</t>
  </si>
  <si>
    <t>Áp dụng voucher</t>
  </si>
  <si>
    <t>Kỹ thuật: Giá trị biên (mức giảm tối đa)</t>
  </si>
  <si>
    <t>Kỹ thuật: Bảng quyết định (ngành hàng x điều kiện)</t>
  </si>
  <si>
    <t>Bảo mật và phiên đăng nhập</t>
  </si>
  <si>
    <t>Kỹ thuật: Kiểm thử bảo mật phiên</t>
  </si>
  <si>
    <t>Non-Function</t>
  </si>
  <si>
    <t>Kỹ thuật: Kiểm thử bảo mật cơ bản (XSS/tham số)</t>
  </si>
  <si>
    <t>Voucher va Ma giam 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</si>
</sst>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6" x14ac:knownFonts="1">
    <font>
      <sz val="11"/>
      <color theme="1"/>
      <name val="Calibri"/>
      <family val="2"/>
      <scheme val="minor"/>
    </font>
    <font>
      <sz val="11"/>
      <color rgb="FF000000"/>
      <name val="Calibri"/>
      <charset val="1"/>
    </font>
    <font>
      <sz val="10"/>
      <color rgb="FF000000"/>
      <name val="Tahoma"/>
      <charset val="1"/>
    </font>
    <font>
      <sz val="10"/>
      <color theme="1"/>
      <name val="Tahoma"/>
      <charset val="1"/>
    </font>
    <font>
      <b/>
      <sz val="10"/>
      <color theme="1"/>
      <name val="Tahoma"/>
      <charset val="1"/>
    </font>
    <font>
      <sz val="10"/>
      <color rgb="FFFF0000"/>
      <name val="Tahoma"/>
      <charset val="1"/>
    </font>
    <font>
      <i/>
      <sz val="10"/>
      <color rgb="FF008000"/>
      <name val="Tahoma"/>
      <charset val="1"/>
    </font>
    <font>
      <b/>
      <sz val="10"/>
      <color rgb="FF000000"/>
      <name val="Tahoma"/>
      <charset val="1"/>
    </font>
    <font>
      <b/>
      <sz val="10"/>
      <color rgb="FFFFFFFF"/>
      <name val="Tahoma"/>
      <charset val="1"/>
    </font>
    <font>
      <b/>
      <sz val="10"/>
      <color rgb="FFFF0000"/>
      <name val="Tahoma"/>
      <charset val="1"/>
    </font>
    <font>
      <sz val="10"/>
      <color theme="1"/>
      <name val="Calibri"/>
      <charset val="1"/>
    </font>
    <font>
      <sz val="10"/>
      <name val="Arial"/>
      <family val="2"/>
    </font>
    <font>
      <b/>
      <sz val="10"/>
      <color theme="1"/>
      <name val="Arial"/>
      <charset val="1"/>
    </font>
    <font>
      <b/>
      <sz val="10"/>
      <color theme="1"/>
      <name val="Calibri"/>
      <charset val="1"/>
    </font>
    <font>
      <sz val="10"/>
      <color theme="1"/>
      <name val="Arial"/>
      <charset val="1"/>
    </font>
    <font>
      <i/>
      <sz val="10"/>
      <color rgb="FF008000"/>
      <name val="Tahoma"/>
      <family val="2"/>
    </font>
  </fonts>
  <fills count="5">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00CCFF"/>
        <bgColor rgb="FF33CCCC"/>
      </patternFill>
    </fill>
  </fills>
  <borders count="12">
    <border>
      <left/>
      <right/>
      <top/>
      <bottom/>
      <diagonal/>
    </border>
    <border>
      <left/>
      <right/>
      <top/>
      <bottom style="medium">
        <color auto="1"/>
      </bottom>
      <diagonal/>
    </border>
    <border>
      <left style="medium">
        <color auto="1"/>
      </left>
      <right/>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style="thin">
        <color auto="1"/>
      </bottom>
      <diagonal/>
    </border>
    <border>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s>
  <cellStyleXfs count="2">
    <xf numFmtId="0" fontId="0" fillId="0" borderId="0"/>
    <xf numFmtId="0" fontId="1" fillId="0" borderId="0"/>
  </cellStyleXfs>
  <cellXfs count="36">
    <xf numFmtId="0" fontId="0" fillId="0" borderId="0" xfId="0"/>
    <xf numFmtId="0" fontId="2" fillId="2" borderId="1" xfId="1" applyFont="1" applyFill="1" applyBorder="1"/>
    <xf numFmtId="0" fontId="2" fillId="2" borderId="0" xfId="1" applyFont="1" applyFill="1" applyAlignment="1">
      <alignment wrapText="1"/>
    </xf>
    <xf numFmtId="0" fontId="3" fillId="2" borderId="0" xfId="1" applyFont="1" applyFill="1" applyAlignment="1">
      <alignment wrapText="1"/>
    </xf>
    <xf numFmtId="0" fontId="4" fillId="2" borderId="0" xfId="1" applyFont="1" applyFill="1" applyAlignment="1">
      <alignment wrapText="1"/>
    </xf>
    <xf numFmtId="0" fontId="5" fillId="2" borderId="0" xfId="1" applyFont="1" applyFill="1" applyAlignment="1">
      <alignment wrapText="1"/>
    </xf>
    <xf numFmtId="0" fontId="2" fillId="2" borderId="0" xfId="1" applyFont="1" applyFill="1"/>
    <xf numFmtId="0" fontId="1" fillId="0" borderId="0" xfId="1"/>
    <xf numFmtId="0" fontId="4" fillId="2" borderId="2" xfId="1" applyFont="1" applyFill="1" applyBorder="1" applyAlignment="1">
      <alignment horizontal="left" wrapText="1"/>
    </xf>
    <xf numFmtId="0" fontId="4" fillId="2" borderId="4" xfId="1" applyFont="1" applyFill="1" applyBorder="1" applyAlignment="1">
      <alignment horizontal="left" wrapText="1"/>
    </xf>
    <xf numFmtId="0" fontId="7" fillId="2" borderId="4" xfId="1" applyFont="1" applyFill="1" applyBorder="1" applyAlignment="1">
      <alignment horizontal="center" vertical="center"/>
    </xf>
    <xf numFmtId="0" fontId="7" fillId="2" borderId="3" xfId="1" applyFont="1" applyFill="1" applyBorder="1" applyAlignment="1">
      <alignment horizontal="center" vertical="center" wrapText="1"/>
    </xf>
    <xf numFmtId="0" fontId="7" fillId="2" borderId="3" xfId="1" applyFont="1" applyFill="1" applyBorder="1" applyAlignment="1">
      <alignment vertical="center" wrapText="1"/>
    </xf>
    <xf numFmtId="0" fontId="5" fillId="2" borderId="0" xfId="1" applyFont="1" applyFill="1" applyAlignment="1">
      <alignment horizontal="center" wrapText="1"/>
    </xf>
    <xf numFmtId="0" fontId="2" fillId="2" borderId="5" xfId="1" applyFont="1" applyFill="1" applyBorder="1" applyAlignment="1">
      <alignment horizontal="center" vertical="center"/>
    </xf>
    <xf numFmtId="0" fontId="2" fillId="2" borderId="3" xfId="1" applyFont="1" applyFill="1" applyBorder="1" applyAlignment="1">
      <alignment horizontal="center" vertical="center"/>
    </xf>
    <xf numFmtId="0" fontId="2" fillId="2" borderId="3" xfId="1" applyFont="1" applyFill="1" applyBorder="1" applyAlignment="1">
      <alignment vertical="center" wrapText="1"/>
    </xf>
    <xf numFmtId="0" fontId="2" fillId="2" borderId="0" xfId="1" applyFont="1" applyFill="1" applyAlignment="1">
      <alignment horizontal="center" wrapText="1"/>
    </xf>
    <xf numFmtId="0" fontId="3" fillId="2" borderId="0" xfId="1" applyFont="1" applyFill="1" applyAlignment="1">
      <alignment horizontal="center" wrapText="1"/>
    </xf>
    <xf numFmtId="0" fontId="8" fillId="3" borderId="6" xfId="1" applyFont="1" applyFill="1" applyBorder="1" applyAlignment="1">
      <alignment horizontal="center" vertical="center" wrapText="1"/>
    </xf>
    <xf numFmtId="0" fontId="8" fillId="3" borderId="7" xfId="1" applyFont="1" applyFill="1" applyBorder="1" applyAlignment="1">
      <alignment horizontal="center" vertical="center" wrapText="1"/>
    </xf>
    <xf numFmtId="0" fontId="8" fillId="3" borderId="8" xfId="1" applyFont="1" applyFill="1" applyBorder="1" applyAlignment="1">
      <alignment horizontal="center" vertical="center" wrapText="1"/>
    </xf>
    <xf numFmtId="0" fontId="8" fillId="3" borderId="9" xfId="1" applyFont="1" applyFill="1" applyBorder="1" applyAlignment="1">
      <alignment horizontal="center" vertical="center" wrapText="1"/>
    </xf>
    <xf numFmtId="0" fontId="9" fillId="2" borderId="0" xfId="1" applyFont="1" applyFill="1" applyAlignment="1">
      <alignment horizontal="center" vertical="center" wrapText="1"/>
    </xf>
    <xf numFmtId="0" fontId="3" fillId="2" borderId="10" xfId="1" applyFont="1" applyFill="1" applyBorder="1" applyAlignment="1">
      <alignment vertical="top" wrapText="1"/>
    </xf>
    <xf numFmtId="0" fontId="10" fillId="0" borderId="3" xfId="1" applyFont="1" applyBorder="1" applyAlignment="1">
      <alignment horizontal="left" vertical="top" wrapText="1"/>
    </xf>
    <xf numFmtId="0" fontId="3" fillId="2" borderId="3" xfId="1" applyFont="1" applyFill="1" applyBorder="1" applyAlignment="1">
      <alignment vertical="top" wrapText="1"/>
    </xf>
    <xf numFmtId="164" fontId="3" fillId="2" borderId="3" xfId="1" applyNumberFormat="1" applyFont="1" applyFill="1" applyBorder="1" applyAlignment="1">
      <alignment vertical="top" wrapText="1"/>
    </xf>
    <xf numFmtId="0" fontId="12" fillId="4" borderId="11" xfId="1" applyFont="1" applyFill="1" applyBorder="1" applyAlignment="1">
      <alignment horizontal="center" vertical="center" wrapText="1"/>
    </xf>
    <xf numFmtId="0" fontId="13" fillId="0" borderId="0" xfId="1" applyFont="1" applyAlignment="1">
      <alignment horizontal="center" vertical="center"/>
    </xf>
    <xf numFmtId="0" fontId="14" fillId="0" borderId="11" xfId="1" applyFont="1" applyBorder="1" applyAlignment="1">
      <alignment vertical="center" wrapText="1"/>
    </xf>
    <xf numFmtId="0" fontId="14" fillId="0" borderId="11" xfId="1" applyFont="1" applyBorder="1" applyAlignment="1">
      <alignment horizontal="left" vertical="center" wrapText="1"/>
    </xf>
    <xf numFmtId="0" fontId="6" fillId="2" borderId="3" xfId="1" applyFont="1" applyFill="1" applyBorder="1" applyAlignment="1">
      <alignment horizontal="left" vertical="center" wrapText="1"/>
    </xf>
    <xf numFmtId="0" fontId="7" fillId="2" borderId="3"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15" fillId="2" borderId="3" xfId="1" applyFont="1" applyFill="1" applyBorder="1" applyAlignment="1">
      <alignment horizontal="left" vertical="center" wrapText="1"/>
    </xf>
  </cellXfs>
  <cellStyles count="2">
    <cellStyle name="Normal" xfId="0" builtinId="0"/>
    <cellStyle name="Normal 2" xfId="1" xr:uid="{471ADE08-7753-4BB1-ADF4-ACC04C7F83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AA93A-FB26-4AC0-8F0D-89C8643BE529}" name="Table_2" displayName="Table_2" ref="A8:H17" totalsRowShown="0">
  <tableColumns count="8">
    <tableColumn id="1" xr3:uid="{D4DEF90F-ABCA-44A6-9A1B-F94EBF0CF02A}" name="ID"/>
    <tableColumn id="2" xr3:uid="{54441352-2670-4AC4-8B22-5B1B25120B85}" name="Test Case Description"/>
    <tableColumn id="3" xr3:uid="{3C4F5397-3F07-49D2-86D8-8AB495009413}" name="Test Case Procedure"/>
    <tableColumn id="4" xr3:uid="{AD5756CC-8895-4873-8DF8-718A1E1CF731}" name="Expected Output"/>
    <tableColumn id="5" xr3:uid="{D6492E59-54D5-488B-B5B2-CEED6F249C0D}" name="Inter-test case Dependence"/>
    <tableColumn id="6" xr3:uid="{D1E630A3-0AA8-4B8A-9EAF-15E02A6B217F}" name="Result"/>
    <tableColumn id="7" xr3:uid="{B229125F-E483-4BCB-9B0E-DA4674DE3762}" name="Test date"/>
    <tableColumn id="8" xr3:uid="{9D8BCE82-79EB-4D12-9B19-3580228A277E}" name="Not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D1A91-8153-4AD9-96FE-5151464825CF}">
  <dimension ref="A1:Z141"/>
  <sheetViews>
    <sheetView zoomScaleNormal="100" workbookViewId="0">
      <pane ySplit="1" topLeftCell="A2" activePane="bottomLeft" state="frozen"/>
      <selection pane="bottomLeft" activeCell="G1" sqref="G1"/>
    </sheetView>
  </sheetViews>
  <sheetFormatPr defaultColWidth="14.44140625" defaultRowHeight="14.4" x14ac:dyDescent="0.3"/>
  <cols>
    <col min="1" max="3" width="30" style="7" customWidth="1"/>
    <col min="4" max="4" width="70" style="7" customWidth="1"/>
    <col min="5" max="5" width="14" style="7" customWidth="1"/>
    <col min="6" max="6" width="50" style="7" customWidth="1"/>
    <col min="7" max="26" width="9.109375" style="7" customWidth="1"/>
    <col min="27" max="16384" width="14.44140625" style="7"/>
  </cols>
  <sheetData>
    <row r="1" spans="1:26" ht="25.5" customHeight="1" x14ac:dyDescent="0.3">
      <c r="A1" s="28" t="s">
        <v>154</v>
      </c>
      <c r="B1" s="28" t="s">
        <v>155</v>
      </c>
      <c r="C1" s="28" t="s">
        <v>156</v>
      </c>
      <c r="D1" s="28" t="s">
        <v>157</v>
      </c>
      <c r="E1" s="28" t="s">
        <v>158</v>
      </c>
      <c r="F1" s="28" t="s">
        <v>18</v>
      </c>
      <c r="G1" s="29"/>
      <c r="H1" s="29"/>
      <c r="I1" s="29"/>
      <c r="J1" s="29"/>
      <c r="K1" s="29"/>
      <c r="L1" s="29"/>
      <c r="M1" s="29"/>
      <c r="N1" s="29"/>
      <c r="O1" s="29"/>
      <c r="P1" s="29"/>
      <c r="Q1" s="29"/>
      <c r="R1" s="29"/>
      <c r="S1" s="29"/>
      <c r="T1" s="29"/>
      <c r="U1" s="29"/>
      <c r="V1" s="29"/>
      <c r="W1" s="29"/>
      <c r="X1" s="29"/>
      <c r="Y1" s="29"/>
      <c r="Z1" s="29"/>
    </row>
    <row r="2" spans="1:26" ht="31.5" customHeight="1" x14ac:dyDescent="0.3">
      <c r="A2" s="31" t="s">
        <v>159</v>
      </c>
      <c r="B2" s="31" t="s">
        <v>160</v>
      </c>
      <c r="C2" s="31" t="s">
        <v>161</v>
      </c>
      <c r="D2" s="30" t="s">
        <v>20</v>
      </c>
      <c r="E2" s="31" t="s">
        <v>162</v>
      </c>
      <c r="F2" s="30" t="s">
        <v>163</v>
      </c>
    </row>
    <row r="3" spans="1:26" ht="18.75" customHeight="1" x14ac:dyDescent="0.3">
      <c r="A3" s="31"/>
      <c r="B3" s="31"/>
      <c r="C3" s="31"/>
      <c r="D3" s="30" t="s">
        <v>25</v>
      </c>
      <c r="E3" s="31" t="s">
        <v>162</v>
      </c>
      <c r="F3" s="30"/>
    </row>
    <row r="4" spans="1:26" ht="18.75" customHeight="1" x14ac:dyDescent="0.3">
      <c r="A4" s="31"/>
      <c r="B4" s="31"/>
      <c r="C4" s="31"/>
      <c r="D4" s="30" t="s">
        <v>29</v>
      </c>
      <c r="E4" s="31" t="s">
        <v>162</v>
      </c>
      <c r="F4" s="30" t="s">
        <v>164</v>
      </c>
    </row>
    <row r="5" spans="1:26" ht="31.5" customHeight="1" x14ac:dyDescent="0.3">
      <c r="A5" s="31"/>
      <c r="B5" s="31"/>
      <c r="C5" s="31"/>
      <c r="D5" s="30" t="s">
        <v>35</v>
      </c>
      <c r="E5" s="31" t="s">
        <v>162</v>
      </c>
      <c r="F5" s="30"/>
    </row>
    <row r="6" spans="1:26" ht="18.75" customHeight="1" x14ac:dyDescent="0.3">
      <c r="A6" s="31"/>
      <c r="B6" s="31"/>
      <c r="C6" s="31"/>
      <c r="D6" s="30" t="s">
        <v>40</v>
      </c>
      <c r="E6" s="31" t="s">
        <v>162</v>
      </c>
      <c r="F6" s="30" t="s">
        <v>164</v>
      </c>
    </row>
    <row r="7" spans="1:26" ht="18.75" customHeight="1" x14ac:dyDescent="0.3">
      <c r="A7" s="31"/>
      <c r="B7" s="31"/>
      <c r="C7" s="31" t="s">
        <v>165</v>
      </c>
      <c r="D7" s="30" t="s">
        <v>44</v>
      </c>
      <c r="E7" s="31" t="s">
        <v>166</v>
      </c>
      <c r="F7" s="30"/>
    </row>
    <row r="8" spans="1:26" ht="18.75" customHeight="1" x14ac:dyDescent="0.3">
      <c r="A8" s="31"/>
      <c r="B8" s="31"/>
      <c r="C8" s="31"/>
      <c r="D8" s="30" t="s">
        <v>48</v>
      </c>
      <c r="E8" s="31" t="s">
        <v>166</v>
      </c>
      <c r="F8" s="30"/>
    </row>
    <row r="9" spans="1:26" ht="31.5" customHeight="1" x14ac:dyDescent="0.3">
      <c r="A9" s="31"/>
      <c r="B9" s="31"/>
      <c r="C9" s="31"/>
      <c r="D9" s="30" t="s">
        <v>52</v>
      </c>
      <c r="E9" s="31" t="s">
        <v>162</v>
      </c>
      <c r="F9" s="30" t="s">
        <v>167</v>
      </c>
    </row>
    <row r="10" spans="1:26" ht="18.75" customHeight="1" x14ac:dyDescent="0.3">
      <c r="A10" s="31"/>
      <c r="B10" s="31"/>
      <c r="C10" s="31"/>
      <c r="D10" s="30" t="s">
        <v>56</v>
      </c>
      <c r="E10" s="31" t="s">
        <v>166</v>
      </c>
      <c r="F10" s="30"/>
    </row>
    <row r="11" spans="1:26" ht="31.5" customHeight="1" x14ac:dyDescent="0.3">
      <c r="A11" s="31"/>
      <c r="B11" s="31"/>
      <c r="C11" s="31"/>
      <c r="D11" s="30" t="s">
        <v>61</v>
      </c>
      <c r="E11" s="31" t="s">
        <v>166</v>
      </c>
      <c r="F11" s="30" t="s">
        <v>168</v>
      </c>
    </row>
    <row r="12" spans="1:26" ht="31.5" customHeight="1" x14ac:dyDescent="0.3">
      <c r="A12" s="31"/>
      <c r="B12" s="31"/>
      <c r="C12" s="31"/>
      <c r="D12" s="30" t="s">
        <v>65</v>
      </c>
      <c r="E12" s="31" t="s">
        <v>162</v>
      </c>
      <c r="F12" s="30" t="s">
        <v>169</v>
      </c>
    </row>
    <row r="13" spans="1:26" ht="18.75" customHeight="1" x14ac:dyDescent="0.3">
      <c r="A13" s="31"/>
      <c r="B13" s="31"/>
      <c r="C13" s="31"/>
      <c r="D13" s="30" t="s">
        <v>69</v>
      </c>
      <c r="E13" s="31" t="s">
        <v>162</v>
      </c>
      <c r="F13" s="30"/>
    </row>
    <row r="14" spans="1:26" ht="18.75" customHeight="1" x14ac:dyDescent="0.3">
      <c r="A14" s="31"/>
      <c r="B14" s="31"/>
      <c r="C14" s="31"/>
      <c r="D14" s="30" t="s">
        <v>73</v>
      </c>
      <c r="E14" s="31" t="s">
        <v>162</v>
      </c>
      <c r="F14" s="30"/>
    </row>
    <row r="15" spans="1:26" ht="31.5" customHeight="1" x14ac:dyDescent="0.3">
      <c r="A15" s="31"/>
      <c r="B15" s="31"/>
      <c r="C15" s="31" t="s">
        <v>170</v>
      </c>
      <c r="D15" s="30" t="s">
        <v>77</v>
      </c>
      <c r="E15" s="31" t="s">
        <v>162</v>
      </c>
      <c r="F15" s="30" t="s">
        <v>171</v>
      </c>
    </row>
    <row r="16" spans="1:26" ht="18.75" customHeight="1" x14ac:dyDescent="0.3">
      <c r="A16" s="31"/>
      <c r="B16" s="31"/>
      <c r="C16" s="31"/>
      <c r="D16" s="30" t="s">
        <v>82</v>
      </c>
      <c r="E16" s="31" t="s">
        <v>162</v>
      </c>
      <c r="F16" s="30" t="s">
        <v>172</v>
      </c>
    </row>
    <row r="17" spans="1:6" ht="31.5" customHeight="1" x14ac:dyDescent="0.3">
      <c r="A17" s="31"/>
      <c r="B17" s="31"/>
      <c r="C17" s="31"/>
      <c r="D17" s="30" t="s">
        <v>86</v>
      </c>
      <c r="E17" s="31" t="s">
        <v>162</v>
      </c>
      <c r="F17" s="30"/>
    </row>
    <row r="18" spans="1:6" ht="31.5" customHeight="1" x14ac:dyDescent="0.3">
      <c r="A18" s="31"/>
      <c r="B18" s="31"/>
      <c r="C18" s="31"/>
      <c r="D18" s="30" t="s">
        <v>90</v>
      </c>
      <c r="E18" s="31" t="s">
        <v>162</v>
      </c>
      <c r="F18" s="30" t="s">
        <v>173</v>
      </c>
    </row>
    <row r="19" spans="1:6" ht="31.5" customHeight="1" x14ac:dyDescent="0.3">
      <c r="A19" s="31"/>
      <c r="B19" s="31"/>
      <c r="C19" s="31"/>
      <c r="D19" s="30" t="s">
        <v>95</v>
      </c>
      <c r="E19" s="31" t="s">
        <v>162</v>
      </c>
      <c r="F19" s="30" t="s">
        <v>174</v>
      </c>
    </row>
    <row r="20" spans="1:6" ht="18.75" customHeight="1" x14ac:dyDescent="0.3">
      <c r="A20" s="31"/>
      <c r="B20" s="31"/>
      <c r="C20" s="31"/>
      <c r="D20" s="30" t="s">
        <v>99</v>
      </c>
      <c r="E20" s="31" t="s">
        <v>162</v>
      </c>
      <c r="F20" s="30"/>
    </row>
    <row r="21" spans="1:6" ht="18.75" customHeight="1" x14ac:dyDescent="0.3">
      <c r="A21" s="31"/>
      <c r="B21" s="31"/>
      <c r="C21" s="31"/>
      <c r="D21" s="30" t="s">
        <v>104</v>
      </c>
      <c r="E21" s="31" t="s">
        <v>162</v>
      </c>
      <c r="F21" s="30" t="s">
        <v>175</v>
      </c>
    </row>
    <row r="22" spans="1:6" ht="18.75" customHeight="1" x14ac:dyDescent="0.3">
      <c r="A22" s="31"/>
      <c r="B22" s="31"/>
      <c r="C22" s="31"/>
      <c r="D22" s="30" t="s">
        <v>109</v>
      </c>
      <c r="E22" s="31" t="s">
        <v>162</v>
      </c>
      <c r="F22" s="30" t="s">
        <v>176</v>
      </c>
    </row>
    <row r="23" spans="1:6" ht="31.5" customHeight="1" x14ac:dyDescent="0.3">
      <c r="A23" s="31"/>
      <c r="B23" s="31"/>
      <c r="C23" s="31"/>
      <c r="D23" s="30" t="s">
        <v>113</v>
      </c>
      <c r="E23" s="31" t="s">
        <v>162</v>
      </c>
      <c r="F23" s="30"/>
    </row>
    <row r="24" spans="1:6" ht="31.5" customHeight="1" x14ac:dyDescent="0.3">
      <c r="A24" s="31"/>
      <c r="B24" s="31"/>
      <c r="C24" s="31" t="s">
        <v>177</v>
      </c>
      <c r="D24" s="30" t="s">
        <v>118</v>
      </c>
      <c r="E24" s="31" t="s">
        <v>162</v>
      </c>
      <c r="F24" s="30"/>
    </row>
    <row r="25" spans="1:6" ht="31.5" customHeight="1" x14ac:dyDescent="0.3">
      <c r="A25" s="31"/>
      <c r="B25" s="31"/>
      <c r="C25" s="31"/>
      <c r="D25" s="30" t="s">
        <v>123</v>
      </c>
      <c r="E25" s="31" t="s">
        <v>162</v>
      </c>
      <c r="F25" s="30" t="s">
        <v>178</v>
      </c>
    </row>
    <row r="26" spans="1:6" ht="31.5" customHeight="1" x14ac:dyDescent="0.3">
      <c r="A26" s="31"/>
      <c r="B26" s="31"/>
      <c r="C26" s="31"/>
      <c r="D26" s="30" t="s">
        <v>128</v>
      </c>
      <c r="E26" s="31" t="s">
        <v>162</v>
      </c>
      <c r="F26" s="30" t="s">
        <v>179</v>
      </c>
    </row>
    <row r="27" spans="1:6" ht="18.75" customHeight="1" x14ac:dyDescent="0.3">
      <c r="A27" s="31"/>
      <c r="B27" s="31"/>
      <c r="C27" s="31"/>
      <c r="D27" s="30" t="s">
        <v>132</v>
      </c>
      <c r="E27" s="31" t="s">
        <v>162</v>
      </c>
      <c r="F27" s="30"/>
    </row>
    <row r="28" spans="1:6" ht="18.75" customHeight="1" x14ac:dyDescent="0.3">
      <c r="A28" s="31"/>
      <c r="B28" s="31"/>
      <c r="C28" s="31"/>
      <c r="D28" s="30" t="s">
        <v>136</v>
      </c>
      <c r="E28" s="31" t="s">
        <v>162</v>
      </c>
      <c r="F28" s="30"/>
    </row>
    <row r="29" spans="1:6" ht="18.75" customHeight="1" x14ac:dyDescent="0.3">
      <c r="A29" s="31"/>
      <c r="B29" s="31"/>
      <c r="C29" s="31" t="s">
        <v>180</v>
      </c>
      <c r="D29" s="30" t="s">
        <v>141</v>
      </c>
      <c r="E29" s="31" t="s">
        <v>162</v>
      </c>
      <c r="F29" s="30" t="s">
        <v>181</v>
      </c>
    </row>
    <row r="30" spans="1:6" ht="18.75" customHeight="1" x14ac:dyDescent="0.3">
      <c r="A30" s="31"/>
      <c r="B30" s="31"/>
      <c r="C30" s="31"/>
      <c r="D30" s="30" t="s">
        <v>145</v>
      </c>
      <c r="E30" s="31" t="s">
        <v>162</v>
      </c>
      <c r="F30" s="30"/>
    </row>
    <row r="31" spans="1:6" ht="18.600000000000001" customHeight="1" x14ac:dyDescent="0.3">
      <c r="A31" s="31"/>
      <c r="B31" s="31"/>
      <c r="C31" s="31"/>
      <c r="D31" s="30" t="s">
        <v>151</v>
      </c>
      <c r="E31" s="31" t="s">
        <v>182</v>
      </c>
      <c r="F31" s="30" t="s">
        <v>183</v>
      </c>
    </row>
    <row r="32" spans="1:6" x14ac:dyDescent="0.3">
      <c r="A32"/>
      <c r="B32"/>
      <c r="C32"/>
      <c r="D32"/>
      <c r="E32"/>
      <c r="F32"/>
    </row>
    <row r="33" spans="1:6" x14ac:dyDescent="0.3">
      <c r="A33"/>
      <c r="B33"/>
      <c r="C33"/>
      <c r="D33"/>
      <c r="E33"/>
      <c r="F33"/>
    </row>
    <row r="34" spans="1:6" x14ac:dyDescent="0.3">
      <c r="A34"/>
      <c r="B34"/>
      <c r="C34"/>
      <c r="D34"/>
      <c r="E34"/>
      <c r="F34"/>
    </row>
    <row r="35" spans="1:6" x14ac:dyDescent="0.3">
      <c r="A35"/>
      <c r="B35"/>
      <c r="C35"/>
      <c r="D35"/>
      <c r="E35"/>
      <c r="F35"/>
    </row>
    <row r="36" spans="1:6" x14ac:dyDescent="0.3">
      <c r="A36"/>
      <c r="B36"/>
      <c r="C36"/>
      <c r="D36"/>
      <c r="E36"/>
      <c r="F36"/>
    </row>
    <row r="37" spans="1:6" x14ac:dyDescent="0.3">
      <c r="A37"/>
      <c r="B37"/>
      <c r="C37"/>
      <c r="D37"/>
      <c r="E37"/>
      <c r="F37"/>
    </row>
    <row r="38" spans="1:6" ht="18.75" customHeight="1" x14ac:dyDescent="0.3">
      <c r="A38"/>
      <c r="B38"/>
      <c r="C38"/>
      <c r="D38"/>
      <c r="E38"/>
      <c r="F38"/>
    </row>
    <row r="39" spans="1:6" ht="18.75" customHeight="1" x14ac:dyDescent="0.3">
      <c r="A39"/>
      <c r="B39"/>
      <c r="C39"/>
      <c r="D39"/>
      <c r="E39"/>
      <c r="F39"/>
    </row>
    <row r="40" spans="1:6" x14ac:dyDescent="0.3">
      <c r="A40"/>
      <c r="B40"/>
      <c r="C40"/>
      <c r="D40"/>
      <c r="E40"/>
      <c r="F40"/>
    </row>
    <row r="41" spans="1:6" ht="18.75" customHeight="1" x14ac:dyDescent="0.3">
      <c r="A41"/>
      <c r="B41"/>
      <c r="C41"/>
      <c r="D41"/>
      <c r="E41"/>
      <c r="F41"/>
    </row>
    <row r="42" spans="1:6" ht="31.5" customHeight="1" x14ac:dyDescent="0.3">
      <c r="A42"/>
      <c r="B42"/>
      <c r="C42"/>
      <c r="D42"/>
      <c r="E42"/>
      <c r="F42"/>
    </row>
    <row r="43" spans="1:6" ht="18.75" customHeight="1" x14ac:dyDescent="0.3">
      <c r="A43"/>
      <c r="B43"/>
      <c r="C43"/>
      <c r="D43"/>
      <c r="E43"/>
      <c r="F43"/>
    </row>
    <row r="44" spans="1:6" ht="31.5" customHeight="1" x14ac:dyDescent="0.3">
      <c r="A44"/>
      <c r="B44"/>
      <c r="C44"/>
      <c r="D44"/>
      <c r="E44"/>
      <c r="F44"/>
    </row>
    <row r="45" spans="1:6" ht="31.5" customHeight="1" x14ac:dyDescent="0.3">
      <c r="A45"/>
      <c r="B45"/>
      <c r="C45"/>
      <c r="D45"/>
      <c r="E45"/>
      <c r="F45"/>
    </row>
    <row r="46" spans="1:6" ht="18.75" customHeight="1" x14ac:dyDescent="0.3">
      <c r="A46"/>
      <c r="B46"/>
      <c r="C46"/>
      <c r="D46"/>
      <c r="E46"/>
      <c r="F46"/>
    </row>
    <row r="47" spans="1:6" ht="31.5" customHeight="1" x14ac:dyDescent="0.3">
      <c r="A47"/>
      <c r="B47"/>
      <c r="C47"/>
      <c r="D47"/>
      <c r="E47"/>
      <c r="F47"/>
    </row>
    <row r="48" spans="1:6" ht="18.75" customHeight="1" x14ac:dyDescent="0.3">
      <c r="A48"/>
      <c r="B48"/>
      <c r="C48"/>
      <c r="D48"/>
      <c r="E48"/>
      <c r="F48"/>
    </row>
    <row r="49" spans="1:6" ht="31.5" customHeight="1" x14ac:dyDescent="0.3">
      <c r="A49"/>
      <c r="B49"/>
      <c r="C49"/>
      <c r="D49"/>
      <c r="E49"/>
      <c r="F49"/>
    </row>
    <row r="50" spans="1:6" ht="31.5" customHeight="1" x14ac:dyDescent="0.3">
      <c r="A50"/>
      <c r="B50"/>
      <c r="C50"/>
      <c r="D50"/>
      <c r="E50"/>
      <c r="F50"/>
    </row>
    <row r="51" spans="1:6" ht="18.75" customHeight="1" x14ac:dyDescent="0.3">
      <c r="A51"/>
      <c r="B51"/>
      <c r="C51"/>
      <c r="D51"/>
      <c r="E51"/>
      <c r="F51"/>
    </row>
    <row r="52" spans="1:6" ht="18.75" customHeight="1" x14ac:dyDescent="0.3">
      <c r="A52"/>
      <c r="B52"/>
      <c r="C52"/>
      <c r="D52"/>
      <c r="E52"/>
      <c r="F52"/>
    </row>
    <row r="53" spans="1:6" ht="31.5" customHeight="1" x14ac:dyDescent="0.3">
      <c r="A53"/>
      <c r="B53"/>
      <c r="C53"/>
      <c r="D53"/>
      <c r="E53"/>
      <c r="F53"/>
    </row>
    <row r="54" spans="1:6" ht="18.75" customHeight="1" x14ac:dyDescent="0.3">
      <c r="A54"/>
      <c r="B54"/>
      <c r="C54"/>
      <c r="D54"/>
      <c r="E54"/>
      <c r="F54"/>
    </row>
    <row r="55" spans="1:6" ht="31.5" customHeight="1" x14ac:dyDescent="0.3">
      <c r="A55"/>
      <c r="B55"/>
      <c r="C55"/>
      <c r="D55"/>
      <c r="E55"/>
      <c r="F55"/>
    </row>
    <row r="56" spans="1:6" ht="31.5" customHeight="1" x14ac:dyDescent="0.3">
      <c r="A56"/>
      <c r="B56"/>
      <c r="C56"/>
      <c r="D56"/>
      <c r="E56"/>
      <c r="F56"/>
    </row>
    <row r="57" spans="1:6" ht="31.5" customHeight="1" x14ac:dyDescent="0.3">
      <c r="A57"/>
      <c r="B57"/>
      <c r="C57"/>
      <c r="D57"/>
      <c r="E57"/>
      <c r="F57"/>
    </row>
    <row r="58" spans="1:6" ht="31.5" customHeight="1" x14ac:dyDescent="0.3">
      <c r="A58"/>
      <c r="B58"/>
      <c r="C58"/>
      <c r="D58"/>
      <c r="E58"/>
      <c r="F58"/>
    </row>
    <row r="59" spans="1:6" ht="31.5" customHeight="1" x14ac:dyDescent="0.3">
      <c r="A59"/>
      <c r="B59"/>
      <c r="C59"/>
      <c r="D59"/>
      <c r="E59"/>
      <c r="F59"/>
    </row>
    <row r="60" spans="1:6" ht="31.5" customHeight="1" x14ac:dyDescent="0.3">
      <c r="A60"/>
      <c r="B60"/>
      <c r="C60"/>
      <c r="D60"/>
      <c r="E60"/>
      <c r="F60"/>
    </row>
    <row r="61" spans="1:6" ht="31.5" customHeight="1" x14ac:dyDescent="0.3">
      <c r="A61"/>
      <c r="B61"/>
      <c r="C61"/>
      <c r="D61"/>
      <c r="E61"/>
      <c r="F61"/>
    </row>
    <row r="62" spans="1:6" ht="31.5" customHeight="1" x14ac:dyDescent="0.3">
      <c r="A62"/>
      <c r="B62"/>
      <c r="C62"/>
      <c r="D62"/>
      <c r="E62"/>
      <c r="F62"/>
    </row>
    <row r="63" spans="1:6" ht="18.75" customHeight="1" x14ac:dyDescent="0.3">
      <c r="A63"/>
      <c r="B63"/>
      <c r="C63"/>
      <c r="D63"/>
      <c r="E63"/>
      <c r="F63"/>
    </row>
    <row r="64" spans="1:6" ht="31.5" customHeight="1" x14ac:dyDescent="0.3">
      <c r="A64"/>
      <c r="B64"/>
      <c r="C64"/>
      <c r="D64"/>
      <c r="E64"/>
      <c r="F64"/>
    </row>
    <row r="65" spans="1:6" ht="18.75" customHeight="1" x14ac:dyDescent="0.3">
      <c r="A65"/>
      <c r="B65"/>
      <c r="C65"/>
      <c r="D65"/>
      <c r="E65"/>
      <c r="F65"/>
    </row>
    <row r="66" spans="1:6" ht="31.5" customHeight="1" x14ac:dyDescent="0.3">
      <c r="A66"/>
      <c r="B66"/>
      <c r="C66"/>
      <c r="D66"/>
      <c r="E66"/>
      <c r="F66"/>
    </row>
    <row r="67" spans="1:6" ht="31.5" customHeight="1" x14ac:dyDescent="0.3">
      <c r="A67"/>
      <c r="B67"/>
      <c r="C67"/>
      <c r="D67"/>
      <c r="E67"/>
      <c r="F67"/>
    </row>
    <row r="68" spans="1:6" ht="31.5" customHeight="1" x14ac:dyDescent="0.3">
      <c r="A68"/>
      <c r="B68"/>
      <c r="C68"/>
      <c r="D68"/>
      <c r="E68"/>
      <c r="F68"/>
    </row>
    <row r="69" spans="1:6" ht="31.5" customHeight="1" x14ac:dyDescent="0.3">
      <c r="A69"/>
      <c r="B69"/>
      <c r="C69"/>
      <c r="D69"/>
      <c r="E69"/>
      <c r="F69"/>
    </row>
    <row r="70" spans="1:6" ht="18.75" customHeight="1" x14ac:dyDescent="0.3">
      <c r="A70"/>
      <c r="B70"/>
      <c r="C70"/>
      <c r="D70"/>
      <c r="E70"/>
      <c r="F70"/>
    </row>
    <row r="71" spans="1:6" ht="18.75" customHeight="1" x14ac:dyDescent="0.3">
      <c r="A71"/>
      <c r="B71"/>
      <c r="C71"/>
      <c r="D71"/>
      <c r="E71"/>
      <c r="F71"/>
    </row>
    <row r="72" spans="1:6" ht="18.75" customHeight="1" x14ac:dyDescent="0.3">
      <c r="A72"/>
      <c r="B72"/>
      <c r="C72"/>
      <c r="D72"/>
      <c r="E72"/>
      <c r="F72"/>
    </row>
    <row r="73" spans="1:6" ht="31.5" customHeight="1" x14ac:dyDescent="0.3">
      <c r="A73"/>
      <c r="B73"/>
      <c r="C73"/>
      <c r="D73"/>
      <c r="E73"/>
      <c r="F73"/>
    </row>
    <row r="74" spans="1:6" ht="18.75" customHeight="1" x14ac:dyDescent="0.3">
      <c r="A74"/>
      <c r="B74"/>
      <c r="C74"/>
      <c r="D74"/>
      <c r="E74"/>
      <c r="F74"/>
    </row>
    <row r="75" spans="1:6" ht="18.75" customHeight="1" x14ac:dyDescent="0.3">
      <c r="A75"/>
      <c r="B75"/>
      <c r="C75"/>
      <c r="D75"/>
      <c r="E75"/>
      <c r="F75"/>
    </row>
    <row r="76" spans="1:6" ht="18.75" customHeight="1" x14ac:dyDescent="0.3">
      <c r="A76"/>
      <c r="B76"/>
      <c r="C76"/>
      <c r="D76"/>
      <c r="E76"/>
      <c r="F76"/>
    </row>
    <row r="77" spans="1:6" ht="18.75" customHeight="1" x14ac:dyDescent="0.3">
      <c r="A77"/>
      <c r="B77"/>
      <c r="C77"/>
      <c r="D77"/>
      <c r="E77"/>
      <c r="F77"/>
    </row>
    <row r="78" spans="1:6" ht="18.75" customHeight="1" x14ac:dyDescent="0.3">
      <c r="A78"/>
      <c r="B78"/>
      <c r="C78"/>
      <c r="D78"/>
      <c r="E78"/>
      <c r="F78"/>
    </row>
    <row r="79" spans="1:6" ht="18.75" customHeight="1" x14ac:dyDescent="0.3">
      <c r="A79"/>
      <c r="B79"/>
      <c r="C79"/>
      <c r="D79"/>
      <c r="E79"/>
      <c r="F79"/>
    </row>
    <row r="80" spans="1:6" ht="18.75" customHeight="1" x14ac:dyDescent="0.3">
      <c r="A80"/>
      <c r="B80"/>
      <c r="C80"/>
      <c r="D80"/>
      <c r="E80"/>
      <c r="F80"/>
    </row>
    <row r="81" spans="1:6" ht="18.75" customHeight="1" x14ac:dyDescent="0.3">
      <c r="A81"/>
      <c r="B81"/>
      <c r="C81"/>
      <c r="D81"/>
      <c r="E81"/>
      <c r="F81"/>
    </row>
    <row r="82" spans="1:6" ht="18.75" customHeight="1" x14ac:dyDescent="0.3">
      <c r="A82"/>
      <c r="B82"/>
      <c r="C82"/>
      <c r="D82"/>
      <c r="E82"/>
      <c r="F82"/>
    </row>
    <row r="83" spans="1:6" ht="18.75" customHeight="1" x14ac:dyDescent="0.3">
      <c r="A83"/>
      <c r="B83"/>
      <c r="C83"/>
      <c r="D83"/>
      <c r="E83"/>
      <c r="F83"/>
    </row>
    <row r="84" spans="1:6" ht="18.75" customHeight="1" x14ac:dyDescent="0.3">
      <c r="A84"/>
      <c r="B84"/>
      <c r="C84"/>
      <c r="D84"/>
      <c r="E84"/>
      <c r="F84"/>
    </row>
    <row r="85" spans="1:6" ht="18.75" customHeight="1" x14ac:dyDescent="0.3">
      <c r="A85"/>
      <c r="B85"/>
      <c r="C85"/>
      <c r="D85"/>
      <c r="E85"/>
      <c r="F85"/>
    </row>
    <row r="86" spans="1:6" ht="18.75" customHeight="1" x14ac:dyDescent="0.3">
      <c r="A86"/>
      <c r="B86"/>
      <c r="C86"/>
      <c r="D86"/>
      <c r="E86"/>
      <c r="F86"/>
    </row>
    <row r="87" spans="1:6" ht="31.5" customHeight="1" x14ac:dyDescent="0.3">
      <c r="A87"/>
      <c r="B87"/>
      <c r="C87"/>
      <c r="D87"/>
      <c r="E87"/>
      <c r="F87"/>
    </row>
    <row r="88" spans="1:6" ht="18.75" customHeight="1" x14ac:dyDescent="0.3">
      <c r="A88"/>
      <c r="B88"/>
      <c r="C88"/>
      <c r="D88"/>
      <c r="E88"/>
      <c r="F88"/>
    </row>
    <row r="89" spans="1:6" ht="18.75" customHeight="1" x14ac:dyDescent="0.3">
      <c r="A89"/>
      <c r="B89"/>
      <c r="C89"/>
      <c r="D89"/>
      <c r="E89"/>
      <c r="F89"/>
    </row>
    <row r="90" spans="1:6" ht="18.75" customHeight="1" x14ac:dyDescent="0.3">
      <c r="A90"/>
      <c r="B90"/>
      <c r="C90"/>
      <c r="D90"/>
      <c r="E90"/>
      <c r="F90"/>
    </row>
    <row r="91" spans="1:6" ht="31.5" customHeight="1" x14ac:dyDescent="0.3">
      <c r="A91"/>
      <c r="B91"/>
      <c r="C91"/>
      <c r="D91"/>
      <c r="E91"/>
      <c r="F91"/>
    </row>
    <row r="92" spans="1:6" ht="31.5" customHeight="1" x14ac:dyDescent="0.3">
      <c r="A92"/>
      <c r="B92"/>
      <c r="C92"/>
      <c r="D92"/>
      <c r="E92"/>
      <c r="F92"/>
    </row>
    <row r="93" spans="1:6" ht="18.75" customHeight="1" x14ac:dyDescent="0.3">
      <c r="A93"/>
      <c r="B93"/>
      <c r="C93"/>
      <c r="D93"/>
      <c r="E93"/>
      <c r="F93"/>
    </row>
    <row r="94" spans="1:6" ht="18.75" customHeight="1" x14ac:dyDescent="0.3">
      <c r="A94"/>
      <c r="B94"/>
      <c r="C94"/>
      <c r="D94"/>
      <c r="E94"/>
      <c r="F94"/>
    </row>
    <row r="95" spans="1:6" ht="18.75" customHeight="1" x14ac:dyDescent="0.3">
      <c r="A95"/>
      <c r="B95"/>
      <c r="C95"/>
      <c r="D95"/>
      <c r="E95"/>
      <c r="F95"/>
    </row>
    <row r="96" spans="1:6" ht="31.5" customHeight="1" x14ac:dyDescent="0.3">
      <c r="A96"/>
      <c r="B96"/>
      <c r="C96"/>
      <c r="D96"/>
      <c r="E96"/>
      <c r="F96"/>
    </row>
    <row r="97" spans="1:6" ht="18.75" customHeight="1" x14ac:dyDescent="0.3">
      <c r="A97"/>
      <c r="B97"/>
      <c r="C97"/>
      <c r="D97"/>
      <c r="E97"/>
      <c r="F97"/>
    </row>
    <row r="98" spans="1:6" ht="18.75" customHeight="1" x14ac:dyDescent="0.3">
      <c r="A98"/>
      <c r="B98"/>
      <c r="C98"/>
      <c r="D98"/>
      <c r="E98"/>
      <c r="F98"/>
    </row>
    <row r="99" spans="1:6" ht="18.75" customHeight="1" x14ac:dyDescent="0.3">
      <c r="A99"/>
      <c r="B99"/>
      <c r="C99"/>
      <c r="D99"/>
      <c r="E99"/>
      <c r="F99"/>
    </row>
    <row r="100" spans="1:6" ht="31.5" customHeight="1" x14ac:dyDescent="0.3">
      <c r="A100"/>
      <c r="B100"/>
      <c r="C100"/>
      <c r="D100"/>
      <c r="E100"/>
      <c r="F100"/>
    </row>
    <row r="101" spans="1:6" ht="18.75" customHeight="1" x14ac:dyDescent="0.3">
      <c r="A101"/>
      <c r="B101"/>
      <c r="C101"/>
      <c r="D101"/>
      <c r="E101"/>
      <c r="F101"/>
    </row>
    <row r="102" spans="1:6" ht="31.5" customHeight="1" x14ac:dyDescent="0.3">
      <c r="A102"/>
      <c r="B102"/>
      <c r="C102"/>
      <c r="D102"/>
      <c r="E102"/>
      <c r="F102"/>
    </row>
    <row r="103" spans="1:6" ht="18.75" customHeight="1" x14ac:dyDescent="0.3">
      <c r="A103"/>
      <c r="B103"/>
      <c r="C103"/>
      <c r="D103"/>
      <c r="E103"/>
      <c r="F103"/>
    </row>
    <row r="104" spans="1:6" ht="18.75" customHeight="1" x14ac:dyDescent="0.3">
      <c r="A104"/>
      <c r="B104"/>
      <c r="C104"/>
      <c r="D104"/>
      <c r="E104"/>
      <c r="F104"/>
    </row>
    <row r="105" spans="1:6" ht="31.5" customHeight="1" x14ac:dyDescent="0.3">
      <c r="A105"/>
      <c r="B105"/>
      <c r="C105"/>
      <c r="D105"/>
      <c r="E105"/>
      <c r="F105"/>
    </row>
    <row r="106" spans="1:6" ht="31.5" customHeight="1" x14ac:dyDescent="0.3">
      <c r="A106"/>
      <c r="B106"/>
      <c r="C106"/>
      <c r="D106"/>
      <c r="E106"/>
      <c r="F106"/>
    </row>
    <row r="107" spans="1:6" ht="31.5" customHeight="1" x14ac:dyDescent="0.3">
      <c r="A107"/>
      <c r="B107"/>
      <c r="C107"/>
      <c r="D107"/>
      <c r="E107"/>
      <c r="F107"/>
    </row>
    <row r="108" spans="1:6" ht="31.5" customHeight="1" x14ac:dyDescent="0.3">
      <c r="A108"/>
      <c r="B108"/>
      <c r="C108"/>
      <c r="D108"/>
      <c r="E108"/>
      <c r="F108"/>
    </row>
    <row r="109" spans="1:6" ht="31.5" customHeight="1" x14ac:dyDescent="0.3">
      <c r="A109"/>
      <c r="B109"/>
      <c r="C109"/>
      <c r="D109"/>
      <c r="E109"/>
      <c r="F109"/>
    </row>
    <row r="110" spans="1:6" ht="31.5" customHeight="1" x14ac:dyDescent="0.3">
      <c r="A110"/>
      <c r="B110"/>
      <c r="C110"/>
      <c r="D110"/>
      <c r="E110"/>
      <c r="F110"/>
    </row>
    <row r="111" spans="1:6" ht="31.5" customHeight="1" x14ac:dyDescent="0.3">
      <c r="A111"/>
      <c r="B111"/>
      <c r="C111"/>
      <c r="D111"/>
      <c r="E111"/>
      <c r="F111"/>
    </row>
    <row r="112" spans="1:6" ht="18.75" customHeight="1" x14ac:dyDescent="0.3">
      <c r="A112"/>
      <c r="B112"/>
      <c r="C112"/>
      <c r="D112"/>
      <c r="E112"/>
      <c r="F112"/>
    </row>
    <row r="113" spans="1:6" ht="18.75" customHeight="1" x14ac:dyDescent="0.3">
      <c r="A113"/>
      <c r="B113"/>
      <c r="C113"/>
      <c r="D113"/>
      <c r="E113"/>
      <c r="F113"/>
    </row>
    <row r="114" spans="1:6" ht="18.75" customHeight="1" x14ac:dyDescent="0.3">
      <c r="A114"/>
      <c r="B114"/>
      <c r="C114"/>
      <c r="D114"/>
      <c r="E114"/>
      <c r="F114"/>
    </row>
    <row r="115" spans="1:6" ht="18.75" customHeight="1" x14ac:dyDescent="0.3">
      <c r="A115"/>
      <c r="B115"/>
      <c r="C115"/>
      <c r="D115"/>
      <c r="E115"/>
      <c r="F115"/>
    </row>
    <row r="116" spans="1:6" ht="18.75" customHeight="1" x14ac:dyDescent="0.3">
      <c r="A116"/>
      <c r="B116"/>
      <c r="C116"/>
      <c r="D116"/>
      <c r="E116"/>
      <c r="F116"/>
    </row>
    <row r="117" spans="1:6" ht="18.75" customHeight="1" x14ac:dyDescent="0.3">
      <c r="A117"/>
      <c r="B117"/>
      <c r="C117"/>
      <c r="D117"/>
      <c r="E117"/>
      <c r="F117"/>
    </row>
    <row r="118" spans="1:6" ht="31.5" customHeight="1" x14ac:dyDescent="0.3">
      <c r="A118"/>
      <c r="B118"/>
      <c r="C118"/>
      <c r="D118"/>
      <c r="E118"/>
      <c r="F118"/>
    </row>
    <row r="119" spans="1:6" ht="31.5" customHeight="1" x14ac:dyDescent="0.3">
      <c r="A119"/>
      <c r="B119"/>
      <c r="C119"/>
      <c r="D119"/>
      <c r="E119"/>
      <c r="F119"/>
    </row>
    <row r="120" spans="1:6" ht="31.5" customHeight="1" x14ac:dyDescent="0.3">
      <c r="A120"/>
      <c r="B120"/>
      <c r="C120"/>
      <c r="D120"/>
      <c r="E120"/>
      <c r="F120"/>
    </row>
    <row r="121" spans="1:6" ht="18.75" customHeight="1" x14ac:dyDescent="0.3">
      <c r="A121"/>
      <c r="B121"/>
      <c r="C121"/>
      <c r="D121"/>
      <c r="E121"/>
      <c r="F121"/>
    </row>
    <row r="122" spans="1:6" ht="31.5" customHeight="1" x14ac:dyDescent="0.3">
      <c r="A122"/>
      <c r="B122"/>
      <c r="C122"/>
      <c r="D122"/>
      <c r="E122"/>
      <c r="F122"/>
    </row>
    <row r="123" spans="1:6" ht="31.5" customHeight="1" x14ac:dyDescent="0.3">
      <c r="A123"/>
      <c r="B123"/>
      <c r="C123"/>
      <c r="D123"/>
      <c r="E123"/>
      <c r="F123"/>
    </row>
    <row r="124" spans="1:6" ht="18.75" customHeight="1" x14ac:dyDescent="0.3">
      <c r="A124"/>
      <c r="B124"/>
      <c r="C124"/>
      <c r="D124"/>
      <c r="E124"/>
      <c r="F124"/>
    </row>
    <row r="125" spans="1:6" ht="31.5" customHeight="1" x14ac:dyDescent="0.3">
      <c r="A125"/>
      <c r="B125"/>
      <c r="C125"/>
      <c r="D125"/>
      <c r="E125"/>
      <c r="F125"/>
    </row>
    <row r="126" spans="1:6" ht="31.5" customHeight="1" x14ac:dyDescent="0.3">
      <c r="A126"/>
      <c r="B126"/>
      <c r="C126"/>
      <c r="D126"/>
      <c r="E126"/>
      <c r="F126"/>
    </row>
    <row r="127" spans="1:6" ht="18.75" customHeight="1" x14ac:dyDescent="0.3">
      <c r="A127"/>
      <c r="B127"/>
      <c r="C127"/>
      <c r="D127"/>
      <c r="E127"/>
      <c r="F127"/>
    </row>
    <row r="128" spans="1:6" ht="18.75" customHeight="1" x14ac:dyDescent="0.3">
      <c r="A128"/>
      <c r="B128"/>
      <c r="C128"/>
      <c r="D128"/>
      <c r="E128"/>
      <c r="F128"/>
    </row>
    <row r="129" spans="1:6" ht="31.5" customHeight="1" x14ac:dyDescent="0.3">
      <c r="A129"/>
      <c r="B129"/>
      <c r="C129"/>
      <c r="D129"/>
      <c r="E129"/>
      <c r="F129"/>
    </row>
    <row r="130" spans="1:6" ht="31.5" customHeight="1" x14ac:dyDescent="0.3">
      <c r="A130"/>
      <c r="B130"/>
      <c r="C130"/>
      <c r="D130"/>
      <c r="E130"/>
      <c r="F130"/>
    </row>
    <row r="131" spans="1:6" ht="31.5" customHeight="1" x14ac:dyDescent="0.3">
      <c r="A131"/>
      <c r="B131"/>
      <c r="C131"/>
      <c r="D131"/>
      <c r="E131"/>
      <c r="F131"/>
    </row>
    <row r="132" spans="1:6" ht="18.75" customHeight="1" x14ac:dyDescent="0.3">
      <c r="A132"/>
      <c r="B132"/>
      <c r="C132"/>
      <c r="D132"/>
      <c r="E132"/>
      <c r="F132"/>
    </row>
    <row r="133" spans="1:6" ht="18.75" customHeight="1" x14ac:dyDescent="0.3">
      <c r="A133"/>
      <c r="B133"/>
      <c r="C133"/>
      <c r="D133"/>
      <c r="E133"/>
      <c r="F133"/>
    </row>
    <row r="134" spans="1:6" ht="18.75" customHeight="1" x14ac:dyDescent="0.3">
      <c r="A134"/>
      <c r="B134"/>
      <c r="C134"/>
      <c r="D134"/>
      <c r="E134"/>
      <c r="F134"/>
    </row>
    <row r="135" spans="1:6" ht="31.5" customHeight="1" x14ac:dyDescent="0.3">
      <c r="A135"/>
      <c r="B135"/>
      <c r="C135"/>
      <c r="D135"/>
      <c r="E135"/>
      <c r="F135"/>
    </row>
    <row r="136" spans="1:6" ht="31.5" customHeight="1" x14ac:dyDescent="0.3">
      <c r="A136"/>
      <c r="B136"/>
      <c r="C136"/>
      <c r="D136"/>
      <c r="E136"/>
      <c r="F136"/>
    </row>
    <row r="137" spans="1:6" ht="18.75" customHeight="1" x14ac:dyDescent="0.3">
      <c r="A137"/>
      <c r="B137"/>
      <c r="C137"/>
      <c r="D137"/>
      <c r="E137"/>
      <c r="F137"/>
    </row>
    <row r="138" spans="1:6" ht="31.5" customHeight="1" x14ac:dyDescent="0.3">
      <c r="A138"/>
      <c r="B138"/>
      <c r="C138"/>
      <c r="D138"/>
      <c r="E138"/>
      <c r="F138"/>
    </row>
    <row r="139" spans="1:6" ht="31.5" customHeight="1" x14ac:dyDescent="0.3">
      <c r="A139"/>
      <c r="B139"/>
      <c r="C139"/>
      <c r="D139"/>
      <c r="E139"/>
      <c r="F139"/>
    </row>
    <row r="140" spans="1:6" x14ac:dyDescent="0.3">
      <c r="A140"/>
      <c r="B140"/>
      <c r="C140"/>
      <c r="D140"/>
      <c r="E140"/>
      <c r="F140"/>
    </row>
    <row r="141" spans="1:6" x14ac:dyDescent="0.3">
      <c r="A141"/>
      <c r="B141"/>
      <c r="C141"/>
      <c r="D141"/>
      <c r="E141"/>
      <c r="F141"/>
    </row>
  </sheetData>
  <autoFilter ref="A1:F867" xr:uid="{00000000-0009-0000-0000-000002000000}"/>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E5E6E-B7F5-4164-8F9A-322F2ADC9A54}">
  <dimension ref="A1:Z38"/>
  <sheetViews>
    <sheetView tabSelected="1" zoomScale="70" zoomScaleNormal="84" workbookViewId="0">
      <pane ySplit="8" topLeftCell="A23" activePane="bottomLeft" state="frozen"/>
      <selection pane="bottomLeft" activeCell="B3" sqref="B3:H3"/>
    </sheetView>
  </sheetViews>
  <sheetFormatPr defaultColWidth="14.44140625" defaultRowHeight="14.4" x14ac:dyDescent="0.3"/>
  <cols>
    <col min="1" max="1" width="22" style="7" customWidth="1"/>
    <col min="2" max="2" width="36" style="7" customWidth="1"/>
    <col min="3" max="4" width="54" style="7" customWidth="1"/>
    <col min="5" max="5" width="24" style="7" customWidth="1"/>
    <col min="6" max="6" width="11" style="7" customWidth="1"/>
    <col min="7" max="7" width="12" style="7" customWidth="1"/>
    <col min="8" max="8" width="40" style="7" customWidth="1"/>
    <col min="9" max="9" width="9.44140625" style="7" customWidth="1"/>
    <col min="10" max="10" width="8.109375" style="7" hidden="1" customWidth="1"/>
    <col min="11" max="26" width="9.109375" style="7" customWidth="1"/>
    <col min="27" max="16384" width="14.44140625" style="7"/>
  </cols>
  <sheetData>
    <row r="1" spans="1:26" ht="13.5" customHeight="1" thickBot="1" x14ac:dyDescent="0.35">
      <c r="A1" s="1"/>
      <c r="B1" s="2"/>
      <c r="C1" s="2"/>
      <c r="D1" s="2"/>
      <c r="E1" s="2"/>
      <c r="F1" s="3"/>
      <c r="G1" s="4"/>
      <c r="H1" s="3"/>
      <c r="I1" s="5"/>
      <c r="J1" s="6"/>
      <c r="K1" s="6"/>
      <c r="L1" s="6"/>
      <c r="M1" s="6"/>
      <c r="N1" s="6"/>
      <c r="O1" s="6"/>
      <c r="P1" s="6"/>
      <c r="Q1" s="6"/>
      <c r="R1" s="6"/>
      <c r="S1" s="6"/>
      <c r="T1" s="6"/>
      <c r="U1" s="6"/>
      <c r="V1" s="6"/>
      <c r="W1" s="6"/>
      <c r="X1" s="6"/>
      <c r="Y1" s="6"/>
      <c r="Z1" s="6"/>
    </row>
    <row r="2" spans="1:26" ht="15" customHeight="1" x14ac:dyDescent="0.3">
      <c r="A2" s="8" t="s">
        <v>0</v>
      </c>
      <c r="B2" s="35" t="s">
        <v>184</v>
      </c>
      <c r="C2" s="32"/>
      <c r="D2" s="32"/>
      <c r="E2" s="32"/>
      <c r="F2" s="32"/>
      <c r="G2" s="32"/>
      <c r="H2" s="32"/>
      <c r="I2" s="5"/>
      <c r="J2" s="6" t="s">
        <v>2</v>
      </c>
      <c r="K2" s="6"/>
      <c r="L2" s="6"/>
      <c r="M2" s="6"/>
      <c r="N2" s="6"/>
      <c r="O2" s="6"/>
      <c r="P2" s="6"/>
      <c r="Q2" s="6"/>
      <c r="R2" s="6"/>
      <c r="S2" s="6"/>
      <c r="T2" s="6"/>
      <c r="U2" s="6"/>
      <c r="V2" s="6"/>
      <c r="W2" s="6"/>
      <c r="X2" s="6"/>
      <c r="Y2" s="6"/>
      <c r="Z2" s="6"/>
    </row>
    <row r="3" spans="1:26" ht="27.75" customHeight="1" x14ac:dyDescent="0.3">
      <c r="A3" s="9" t="s">
        <v>3</v>
      </c>
      <c r="B3" s="32" t="s">
        <v>1</v>
      </c>
      <c r="C3" s="32"/>
      <c r="D3" s="32"/>
      <c r="E3" s="32"/>
      <c r="F3" s="32"/>
      <c r="G3" s="32"/>
      <c r="H3" s="32"/>
      <c r="I3" s="5"/>
      <c r="J3" s="6" t="s">
        <v>4</v>
      </c>
      <c r="K3" s="6"/>
      <c r="L3" s="6"/>
      <c r="M3" s="6"/>
      <c r="N3" s="6"/>
      <c r="O3" s="6"/>
      <c r="P3" s="6"/>
      <c r="Q3" s="6"/>
      <c r="R3" s="6"/>
      <c r="S3" s="6"/>
      <c r="T3" s="6"/>
      <c r="U3" s="6"/>
      <c r="V3" s="6"/>
      <c r="W3" s="6"/>
      <c r="X3" s="6"/>
      <c r="Y3" s="6"/>
      <c r="Z3" s="6"/>
    </row>
    <row r="4" spans="1:26" ht="18" customHeight="1" x14ac:dyDescent="0.3">
      <c r="A4" s="8" t="s">
        <v>5</v>
      </c>
      <c r="B4" s="32" t="s">
        <v>6</v>
      </c>
      <c r="C4" s="32"/>
      <c r="D4" s="32"/>
      <c r="E4" s="32"/>
      <c r="F4" s="32"/>
      <c r="G4" s="32"/>
      <c r="H4" s="32"/>
      <c r="I4" s="5"/>
      <c r="J4" s="6" t="s">
        <v>7</v>
      </c>
      <c r="K4" s="6"/>
      <c r="L4" s="6"/>
      <c r="M4" s="6"/>
      <c r="N4" s="6"/>
      <c r="O4" s="6"/>
      <c r="P4" s="6"/>
      <c r="Q4" s="6"/>
      <c r="R4" s="6"/>
      <c r="S4" s="6"/>
      <c r="T4" s="6"/>
      <c r="U4" s="6"/>
      <c r="V4" s="6"/>
      <c r="W4" s="6"/>
      <c r="X4" s="6"/>
      <c r="Y4" s="6"/>
      <c r="Z4" s="6"/>
    </row>
    <row r="5" spans="1:26" ht="19.5" customHeight="1" x14ac:dyDescent="0.3">
      <c r="A5" s="10" t="s">
        <v>2</v>
      </c>
      <c r="B5" s="11" t="s">
        <v>4</v>
      </c>
      <c r="C5" s="11" t="s">
        <v>8</v>
      </c>
      <c r="D5" s="11" t="s">
        <v>7</v>
      </c>
      <c r="E5" s="12" t="s">
        <v>9</v>
      </c>
      <c r="F5" s="33" t="s">
        <v>10</v>
      </c>
      <c r="G5" s="33"/>
      <c r="H5" s="33"/>
      <c r="I5" s="13"/>
      <c r="J5" s="6" t="s">
        <v>8</v>
      </c>
      <c r="K5" s="6"/>
      <c r="L5" s="6"/>
      <c r="M5" s="6"/>
      <c r="N5" s="6"/>
      <c r="O5" s="6"/>
      <c r="P5" s="6"/>
      <c r="Q5" s="6"/>
      <c r="R5" s="6"/>
      <c r="S5" s="6"/>
      <c r="T5" s="6"/>
      <c r="U5" s="6"/>
      <c r="V5" s="6"/>
      <c r="W5" s="6"/>
      <c r="X5" s="6"/>
      <c r="Y5" s="6"/>
      <c r="Z5" s="6"/>
    </row>
    <row r="6" spans="1:26" ht="15" customHeight="1" thickBot="1" x14ac:dyDescent="0.35">
      <c r="A6" s="14">
        <f>COUNTIF(F9:F996,"Passed")</f>
        <v>0</v>
      </c>
      <c r="B6" s="15">
        <f>COUNTIF(F9:F996,"Failed")</f>
        <v>0</v>
      </c>
      <c r="C6" s="15">
        <f>F6-E6-D6-B6-A6</f>
        <v>30</v>
      </c>
      <c r="D6" s="15">
        <f>COUNTIF(F$9:F$996,"Blocked")</f>
        <v>0</v>
      </c>
      <c r="E6" s="16">
        <f>COUNTIF(F$9:F$996,"Skipped")</f>
        <v>0</v>
      </c>
      <c r="F6" s="34">
        <f>COUNTA(A9:A996)</f>
        <v>30</v>
      </c>
      <c r="G6" s="34"/>
      <c r="H6" s="34"/>
      <c r="I6" s="13"/>
      <c r="J6" s="6" t="s">
        <v>9</v>
      </c>
      <c r="K6" s="6"/>
      <c r="L6" s="6"/>
      <c r="M6" s="6"/>
      <c r="N6" s="6"/>
      <c r="O6" s="6"/>
      <c r="P6" s="6"/>
      <c r="Q6" s="6"/>
      <c r="R6" s="6"/>
      <c r="S6" s="6"/>
      <c r="T6" s="6"/>
      <c r="U6" s="6"/>
      <c r="V6" s="6"/>
      <c r="W6" s="6"/>
      <c r="X6" s="6"/>
      <c r="Y6" s="6"/>
      <c r="Z6" s="6"/>
    </row>
    <row r="7" spans="1:26" ht="15" customHeight="1" x14ac:dyDescent="0.3">
      <c r="A7" s="6"/>
      <c r="B7" s="6"/>
      <c r="C7" s="6"/>
      <c r="D7" s="17"/>
      <c r="E7" s="17"/>
      <c r="F7" s="18"/>
      <c r="G7" s="18"/>
      <c r="H7" s="18"/>
      <c r="I7" s="13"/>
      <c r="J7" s="6"/>
      <c r="K7" s="6"/>
      <c r="L7" s="6"/>
      <c r="M7" s="6"/>
      <c r="N7" s="6"/>
      <c r="O7" s="6"/>
      <c r="P7" s="6"/>
      <c r="Q7" s="6"/>
      <c r="R7" s="6"/>
      <c r="S7" s="6"/>
      <c r="T7" s="6"/>
      <c r="U7" s="6"/>
      <c r="V7" s="6"/>
      <c r="W7" s="6"/>
      <c r="X7" s="6"/>
      <c r="Y7" s="6"/>
      <c r="Z7" s="6"/>
    </row>
    <row r="8" spans="1:26" ht="25.5" customHeight="1" x14ac:dyDescent="0.3">
      <c r="A8" s="19" t="s">
        <v>11</v>
      </c>
      <c r="B8" s="20" t="s">
        <v>12</v>
      </c>
      <c r="C8" s="20" t="s">
        <v>13</v>
      </c>
      <c r="D8" s="20" t="s">
        <v>14</v>
      </c>
      <c r="E8" s="21" t="s">
        <v>15</v>
      </c>
      <c r="F8" s="21" t="s">
        <v>16</v>
      </c>
      <c r="G8" s="21" t="s">
        <v>17</v>
      </c>
      <c r="H8" s="22" t="s">
        <v>18</v>
      </c>
      <c r="I8" s="23"/>
      <c r="J8" s="6"/>
      <c r="K8" s="6"/>
      <c r="L8" s="6"/>
      <c r="M8" s="6"/>
      <c r="N8" s="6"/>
      <c r="O8" s="6"/>
      <c r="P8" s="6"/>
      <c r="Q8" s="6"/>
      <c r="R8" s="6"/>
      <c r="S8" s="6"/>
      <c r="T8" s="6"/>
      <c r="U8" s="6"/>
      <c r="V8" s="6"/>
      <c r="W8" s="6"/>
      <c r="X8" s="6"/>
      <c r="Y8" s="6"/>
      <c r="Z8" s="6"/>
    </row>
    <row r="9" spans="1:26" ht="109.5" customHeight="1" x14ac:dyDescent="0.3">
      <c r="A9" s="24" t="s">
        <v>19</v>
      </c>
      <c r="B9" s="25" t="s">
        <v>20</v>
      </c>
      <c r="C9" s="25" t="s">
        <v>21</v>
      </c>
      <c r="D9" s="25" t="s">
        <v>22</v>
      </c>
      <c r="E9" s="25" t="s">
        <v>23</v>
      </c>
      <c r="F9" s="26" t="s">
        <v>8</v>
      </c>
      <c r="G9" s="27"/>
      <c r="H9" s="25"/>
    </row>
    <row r="10" spans="1:26" ht="109.5" customHeight="1" x14ac:dyDescent="0.3">
      <c r="A10" s="24" t="s">
        <v>24</v>
      </c>
      <c r="B10" s="25" t="s">
        <v>25</v>
      </c>
      <c r="C10" s="25" t="s">
        <v>26</v>
      </c>
      <c r="D10" s="25" t="s">
        <v>27</v>
      </c>
      <c r="E10" s="25" t="s">
        <v>23</v>
      </c>
      <c r="F10" s="26" t="s">
        <v>8</v>
      </c>
      <c r="G10" s="27"/>
      <c r="H10" s="25"/>
    </row>
    <row r="11" spans="1:26" ht="96.75" customHeight="1" x14ac:dyDescent="0.3">
      <c r="A11" s="24" t="s">
        <v>28</v>
      </c>
      <c r="B11" s="25" t="s">
        <v>29</v>
      </c>
      <c r="C11" s="25" t="s">
        <v>30</v>
      </c>
      <c r="D11" s="25" t="s">
        <v>31</v>
      </c>
      <c r="E11" s="25" t="s">
        <v>32</v>
      </c>
      <c r="F11" s="26" t="s">
        <v>8</v>
      </c>
      <c r="G11" s="27"/>
      <c r="H11" s="25" t="s">
        <v>33</v>
      </c>
    </row>
    <row r="12" spans="1:26" ht="109.5" customHeight="1" x14ac:dyDescent="0.3">
      <c r="A12" s="24" t="s">
        <v>34</v>
      </c>
      <c r="B12" s="25" t="s">
        <v>35</v>
      </c>
      <c r="C12" s="25" t="s">
        <v>36</v>
      </c>
      <c r="D12" s="25" t="s">
        <v>37</v>
      </c>
      <c r="E12" s="25" t="s">
        <v>28</v>
      </c>
      <c r="F12" s="26" t="s">
        <v>8</v>
      </c>
      <c r="G12" s="27"/>
      <c r="H12" s="25" t="s">
        <v>38</v>
      </c>
    </row>
    <row r="13" spans="1:26" ht="96.75" customHeight="1" x14ac:dyDescent="0.3">
      <c r="A13" s="24" t="s">
        <v>39</v>
      </c>
      <c r="B13" s="25" t="s">
        <v>40</v>
      </c>
      <c r="C13" s="25" t="s">
        <v>41</v>
      </c>
      <c r="D13" s="25" t="s">
        <v>42</v>
      </c>
      <c r="E13" s="25" t="s">
        <v>32</v>
      </c>
      <c r="F13" s="26" t="s">
        <v>8</v>
      </c>
      <c r="G13" s="27"/>
      <c r="H13" s="25"/>
    </row>
    <row r="14" spans="1:26" ht="109.5" customHeight="1" x14ac:dyDescent="0.3">
      <c r="A14" s="24" t="s">
        <v>43</v>
      </c>
      <c r="B14" s="25" t="s">
        <v>44</v>
      </c>
      <c r="C14" s="25" t="s">
        <v>45</v>
      </c>
      <c r="D14" s="25" t="s">
        <v>46</v>
      </c>
      <c r="E14" s="25" t="s">
        <v>23</v>
      </c>
      <c r="F14" s="26" t="s">
        <v>8</v>
      </c>
      <c r="G14" s="27"/>
      <c r="H14" s="25"/>
    </row>
    <row r="15" spans="1:26" ht="96.75" customHeight="1" x14ac:dyDescent="0.3">
      <c r="A15" s="24" t="s">
        <v>47</v>
      </c>
      <c r="B15" s="25" t="s">
        <v>48</v>
      </c>
      <c r="C15" s="25" t="s">
        <v>49</v>
      </c>
      <c r="D15" s="25" t="s">
        <v>50</v>
      </c>
      <c r="E15" s="25" t="s">
        <v>23</v>
      </c>
      <c r="F15" s="26" t="s">
        <v>8</v>
      </c>
      <c r="G15" s="27"/>
      <c r="H15" s="25"/>
    </row>
    <row r="16" spans="1:26" ht="109.5" customHeight="1" x14ac:dyDescent="0.3">
      <c r="A16" s="24" t="s">
        <v>51</v>
      </c>
      <c r="B16" s="25" t="s">
        <v>52</v>
      </c>
      <c r="C16" s="25" t="s">
        <v>53</v>
      </c>
      <c r="D16" s="25" t="s">
        <v>54</v>
      </c>
      <c r="E16" s="25" t="s">
        <v>23</v>
      </c>
      <c r="F16" s="26" t="s">
        <v>8</v>
      </c>
      <c r="G16" s="27"/>
      <c r="H16" s="25"/>
    </row>
    <row r="17" spans="1:8" ht="109.5" customHeight="1" x14ac:dyDescent="0.3">
      <c r="A17" s="24" t="s">
        <v>55</v>
      </c>
      <c r="B17" s="25" t="s">
        <v>56</v>
      </c>
      <c r="C17" s="25" t="s">
        <v>57</v>
      </c>
      <c r="D17" s="25" t="s">
        <v>58</v>
      </c>
      <c r="E17" s="25" t="s">
        <v>23</v>
      </c>
      <c r="F17" s="26" t="s">
        <v>8</v>
      </c>
      <c r="G17" s="27"/>
      <c r="H17" s="25" t="s">
        <v>59</v>
      </c>
    </row>
    <row r="18" spans="1:8" ht="123" customHeight="1" x14ac:dyDescent="0.3">
      <c r="A18" s="24" t="s">
        <v>60</v>
      </c>
      <c r="B18" s="25" t="s">
        <v>61</v>
      </c>
      <c r="C18" s="25" t="s">
        <v>62</v>
      </c>
      <c r="D18" s="25" t="s">
        <v>63</v>
      </c>
      <c r="E18" s="25" t="s">
        <v>23</v>
      </c>
      <c r="F18" s="26" t="s">
        <v>8</v>
      </c>
      <c r="G18" s="27"/>
      <c r="H18" s="25"/>
    </row>
    <row r="19" spans="1:8" ht="96.75" customHeight="1" x14ac:dyDescent="0.3">
      <c r="A19" s="24" t="s">
        <v>64</v>
      </c>
      <c r="B19" s="25" t="s">
        <v>65</v>
      </c>
      <c r="C19" s="25" t="s">
        <v>66</v>
      </c>
      <c r="D19" s="25" t="s">
        <v>67</v>
      </c>
      <c r="E19" s="25" t="s">
        <v>23</v>
      </c>
      <c r="F19" s="26" t="s">
        <v>8</v>
      </c>
      <c r="G19" s="27"/>
      <c r="H19" s="25"/>
    </row>
    <row r="20" spans="1:8" ht="123" customHeight="1" x14ac:dyDescent="0.3">
      <c r="A20" s="24" t="s">
        <v>68</v>
      </c>
      <c r="B20" s="25" t="s">
        <v>69</v>
      </c>
      <c r="C20" s="25" t="s">
        <v>70</v>
      </c>
      <c r="D20" s="25" t="s">
        <v>71</v>
      </c>
      <c r="E20" s="25" t="s">
        <v>23</v>
      </c>
      <c r="F20" s="26" t="s">
        <v>8</v>
      </c>
      <c r="G20" s="27"/>
      <c r="H20" s="25"/>
    </row>
    <row r="21" spans="1:8" ht="109.5" customHeight="1" x14ac:dyDescent="0.3">
      <c r="A21" s="24" t="s">
        <v>72</v>
      </c>
      <c r="B21" s="25" t="s">
        <v>73</v>
      </c>
      <c r="C21" s="25" t="s">
        <v>74</v>
      </c>
      <c r="D21" s="25" t="s">
        <v>75</v>
      </c>
      <c r="E21" s="25" t="s">
        <v>23</v>
      </c>
      <c r="F21" s="26" t="s">
        <v>8</v>
      </c>
      <c r="G21" s="27"/>
      <c r="H21" s="25"/>
    </row>
    <row r="22" spans="1:8" ht="109.5" customHeight="1" x14ac:dyDescent="0.3">
      <c r="A22" s="24" t="s">
        <v>76</v>
      </c>
      <c r="B22" s="25" t="s">
        <v>77</v>
      </c>
      <c r="C22" s="25" t="s">
        <v>78</v>
      </c>
      <c r="D22" s="25" t="s">
        <v>79</v>
      </c>
      <c r="E22" s="25" t="s">
        <v>23</v>
      </c>
      <c r="F22" s="26" t="s">
        <v>8</v>
      </c>
      <c r="G22" s="27"/>
      <c r="H22" s="25" t="s">
        <v>80</v>
      </c>
    </row>
    <row r="23" spans="1:8" ht="123" customHeight="1" x14ac:dyDescent="0.3">
      <c r="A23" s="24" t="s">
        <v>81</v>
      </c>
      <c r="B23" s="25" t="s">
        <v>82</v>
      </c>
      <c r="C23" s="25" t="s">
        <v>83</v>
      </c>
      <c r="D23" s="25" t="s">
        <v>84</v>
      </c>
      <c r="E23" s="25" t="s">
        <v>76</v>
      </c>
      <c r="F23" s="26" t="s">
        <v>8</v>
      </c>
      <c r="G23" s="27"/>
      <c r="H23" s="25"/>
    </row>
    <row r="24" spans="1:8" ht="123" customHeight="1" x14ac:dyDescent="0.3">
      <c r="A24" s="24" t="s">
        <v>85</v>
      </c>
      <c r="B24" s="25" t="s">
        <v>86</v>
      </c>
      <c r="C24" s="25" t="s">
        <v>87</v>
      </c>
      <c r="D24" s="25" t="s">
        <v>88</v>
      </c>
      <c r="E24" s="25" t="s">
        <v>76</v>
      </c>
      <c r="F24" s="26" t="s">
        <v>8</v>
      </c>
      <c r="G24" s="27"/>
      <c r="H24" s="25"/>
    </row>
    <row r="25" spans="1:8" ht="123" customHeight="1" x14ac:dyDescent="0.3">
      <c r="A25" s="24" t="s">
        <v>89</v>
      </c>
      <c r="B25" s="25" t="s">
        <v>90</v>
      </c>
      <c r="C25" s="25" t="s">
        <v>91</v>
      </c>
      <c r="D25" s="25" t="s">
        <v>92</v>
      </c>
      <c r="E25" s="25" t="s">
        <v>76</v>
      </c>
      <c r="F25" s="26" t="s">
        <v>8</v>
      </c>
      <c r="G25" s="27"/>
      <c r="H25" s="25" t="s">
        <v>93</v>
      </c>
    </row>
    <row r="26" spans="1:8" ht="109.5" customHeight="1" x14ac:dyDescent="0.3">
      <c r="A26" s="24" t="s">
        <v>94</v>
      </c>
      <c r="B26" s="25" t="s">
        <v>95</v>
      </c>
      <c r="C26" s="25" t="s">
        <v>96</v>
      </c>
      <c r="D26" s="25" t="s">
        <v>97</v>
      </c>
      <c r="E26" s="25" t="s">
        <v>23</v>
      </c>
      <c r="F26" s="26" t="s">
        <v>8</v>
      </c>
      <c r="G26" s="27"/>
      <c r="H26" s="25"/>
    </row>
    <row r="27" spans="1:8" ht="123" customHeight="1" x14ac:dyDescent="0.3">
      <c r="A27" s="24" t="s">
        <v>98</v>
      </c>
      <c r="B27" s="25" t="s">
        <v>99</v>
      </c>
      <c r="C27" s="25" t="s">
        <v>100</v>
      </c>
      <c r="D27" s="25" t="s">
        <v>101</v>
      </c>
      <c r="E27" s="25" t="s">
        <v>23</v>
      </c>
      <c r="F27" s="26" t="s">
        <v>8</v>
      </c>
      <c r="G27" s="27"/>
      <c r="H27" s="25" t="s">
        <v>102</v>
      </c>
    </row>
    <row r="28" spans="1:8" ht="123" customHeight="1" x14ac:dyDescent="0.3">
      <c r="A28" s="24" t="s">
        <v>103</v>
      </c>
      <c r="B28" s="25" t="s">
        <v>104</v>
      </c>
      <c r="C28" s="25" t="s">
        <v>105</v>
      </c>
      <c r="D28" s="25" t="s">
        <v>106</v>
      </c>
      <c r="E28" s="25" t="s">
        <v>23</v>
      </c>
      <c r="F28" s="26" t="s">
        <v>8</v>
      </c>
      <c r="G28" s="27"/>
      <c r="H28" s="25" t="s">
        <v>107</v>
      </c>
    </row>
    <row r="29" spans="1:8" ht="135.75" customHeight="1" x14ac:dyDescent="0.3">
      <c r="A29" s="24" t="s">
        <v>108</v>
      </c>
      <c r="B29" s="25" t="s">
        <v>109</v>
      </c>
      <c r="C29" s="25" t="s">
        <v>110</v>
      </c>
      <c r="D29" s="25" t="s">
        <v>111</v>
      </c>
      <c r="E29" s="25" t="s">
        <v>23</v>
      </c>
      <c r="F29" s="26" t="s">
        <v>8</v>
      </c>
      <c r="G29" s="27"/>
      <c r="H29" s="25"/>
    </row>
    <row r="30" spans="1:8" ht="123" customHeight="1" x14ac:dyDescent="0.3">
      <c r="A30" s="24" t="s">
        <v>112</v>
      </c>
      <c r="B30" s="25" t="s">
        <v>113</v>
      </c>
      <c r="C30" s="25" t="s">
        <v>114</v>
      </c>
      <c r="D30" s="25" t="s">
        <v>115</v>
      </c>
      <c r="E30" s="25" t="s">
        <v>23</v>
      </c>
      <c r="F30" s="26" t="s">
        <v>8</v>
      </c>
      <c r="G30" s="27"/>
      <c r="H30" s="25" t="s">
        <v>116</v>
      </c>
    </row>
    <row r="31" spans="1:8" ht="123" customHeight="1" x14ac:dyDescent="0.3">
      <c r="A31" s="24" t="s">
        <v>117</v>
      </c>
      <c r="B31" s="25" t="s">
        <v>118</v>
      </c>
      <c r="C31" s="25" t="s">
        <v>119</v>
      </c>
      <c r="D31" s="25" t="s">
        <v>120</v>
      </c>
      <c r="E31" s="25" t="s">
        <v>76</v>
      </c>
      <c r="F31" s="26" t="s">
        <v>8</v>
      </c>
      <c r="G31" s="27"/>
      <c r="H31" s="25" t="s">
        <v>121</v>
      </c>
    </row>
    <row r="32" spans="1:8" ht="148.5" customHeight="1" x14ac:dyDescent="0.3">
      <c r="A32" s="24" t="s">
        <v>122</v>
      </c>
      <c r="B32" s="25" t="s">
        <v>123</v>
      </c>
      <c r="C32" s="25" t="s">
        <v>124</v>
      </c>
      <c r="D32" s="25" t="s">
        <v>125</v>
      </c>
      <c r="E32" s="25" t="s">
        <v>76</v>
      </c>
      <c r="F32" s="26" t="s">
        <v>8</v>
      </c>
      <c r="G32" s="27"/>
      <c r="H32" s="25" t="s">
        <v>126</v>
      </c>
    </row>
    <row r="33" spans="1:8" ht="135.75" customHeight="1" x14ac:dyDescent="0.3">
      <c r="A33" s="24" t="s">
        <v>127</v>
      </c>
      <c r="B33" s="25" t="s">
        <v>128</v>
      </c>
      <c r="C33" s="25" t="s">
        <v>129</v>
      </c>
      <c r="D33" s="25" t="s">
        <v>130</v>
      </c>
      <c r="E33" s="25" t="s">
        <v>76</v>
      </c>
      <c r="F33" s="26" t="s">
        <v>8</v>
      </c>
      <c r="G33" s="27"/>
      <c r="H33" s="25"/>
    </row>
    <row r="34" spans="1:8" ht="109.5" customHeight="1" x14ac:dyDescent="0.3">
      <c r="A34" s="24" t="s">
        <v>131</v>
      </c>
      <c r="B34" s="25" t="s">
        <v>132</v>
      </c>
      <c r="C34" s="25" t="s">
        <v>133</v>
      </c>
      <c r="D34" s="25" t="s">
        <v>134</v>
      </c>
      <c r="E34" s="25" t="s">
        <v>122</v>
      </c>
      <c r="F34" s="26" t="s">
        <v>8</v>
      </c>
      <c r="G34" s="27"/>
      <c r="H34" s="25"/>
    </row>
    <row r="35" spans="1:8" ht="96.75" customHeight="1" x14ac:dyDescent="0.3">
      <c r="A35" s="24" t="s">
        <v>135</v>
      </c>
      <c r="B35" s="25" t="s">
        <v>136</v>
      </c>
      <c r="C35" s="25" t="s">
        <v>137</v>
      </c>
      <c r="D35" s="25" t="s">
        <v>138</v>
      </c>
      <c r="E35" s="25" t="s">
        <v>122</v>
      </c>
      <c r="F35" s="26" t="s">
        <v>8</v>
      </c>
      <c r="G35" s="27"/>
      <c r="H35" s="25" t="s">
        <v>139</v>
      </c>
    </row>
    <row r="36" spans="1:8" ht="109.5" customHeight="1" x14ac:dyDescent="0.3">
      <c r="A36" s="24" t="s">
        <v>140</v>
      </c>
      <c r="B36" s="25" t="s">
        <v>141</v>
      </c>
      <c r="C36" s="25" t="s">
        <v>142</v>
      </c>
      <c r="D36" s="25" t="s">
        <v>143</v>
      </c>
      <c r="E36" s="25" t="s">
        <v>23</v>
      </c>
      <c r="F36" s="26" t="s">
        <v>8</v>
      </c>
      <c r="G36" s="27"/>
      <c r="H36" s="25"/>
    </row>
    <row r="37" spans="1:8" ht="96.75" customHeight="1" x14ac:dyDescent="0.3">
      <c r="A37" s="24" t="s">
        <v>144</v>
      </c>
      <c r="B37" s="25" t="s">
        <v>145</v>
      </c>
      <c r="C37" s="25" t="s">
        <v>146</v>
      </c>
      <c r="D37" s="25" t="s">
        <v>147</v>
      </c>
      <c r="E37" s="25" t="s">
        <v>148</v>
      </c>
      <c r="F37" s="26" t="s">
        <v>8</v>
      </c>
      <c r="G37" s="27"/>
      <c r="H37" s="25" t="s">
        <v>149</v>
      </c>
    </row>
    <row r="38" spans="1:8" ht="123" customHeight="1" x14ac:dyDescent="0.3">
      <c r="A38" s="24" t="s">
        <v>150</v>
      </c>
      <c r="B38" s="25" t="s">
        <v>151</v>
      </c>
      <c r="C38" s="25" t="s">
        <v>152</v>
      </c>
      <c r="D38" s="25" t="s">
        <v>153</v>
      </c>
      <c r="E38" s="25" t="s">
        <v>23</v>
      </c>
      <c r="F38" s="26" t="s">
        <v>8</v>
      </c>
      <c r="G38" s="27"/>
      <c r="H38" s="25"/>
    </row>
  </sheetData>
  <mergeCells count="5">
    <mergeCell ref="B2:H2"/>
    <mergeCell ref="B3:H3"/>
    <mergeCell ref="B4:H4"/>
    <mergeCell ref="F5:H5"/>
    <mergeCell ref="F6:H6"/>
  </mergeCells>
  <dataValidations count="1">
    <dataValidation type="list" allowBlank="1" showInputMessage="1" showErrorMessage="1" prompt=" - " sqref="F9:F600" xr:uid="{779EE59D-4E9C-4C17-879E-D64B93B12924}">
      <formula1>$J$2:$J$6</formula1>
      <formula2>0</formula2>
    </dataValidation>
  </dataValidations>
  <pageMargins left="0.7" right="0.7" top="0.75" bottom="0.75" header="0" footer="0"/>
  <pageSetup orientation="landscape" horizontalDpi="300" verticalDpi="300"/>
  <headerFooter>
    <oddHeader>&amp;LFacilitate_Test Case\Company&amp;Rv1.0</oddHeader>
    <oddFooter>&amp;L 02ae-BM/PM/HDCV/FSOFT v2/0&amp;CInternal use&amp;R&amp;P/</oddFooter>
  </headerFooter>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TestDesign</vt:lpstr>
      <vt:lpstr>Voucher va Ma giam gia</vt:lpstr>
      <vt:lpstr>TestDesign!_Toc301930468</vt:lpstr>
      <vt:lpstr>TestDesign!_Toc301930478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dc:creator>
  <cp:lastModifiedBy>23130194 - Nguyễn Võ Quang Minh</cp:lastModifiedBy>
  <dcterms:created xsi:type="dcterms:W3CDTF">2015-06-05T18:17:20Z</dcterms:created>
  <dcterms:modified xsi:type="dcterms:W3CDTF">2026-10-21T05:31:34Z</dcterms:modified>
</cp:coreProperties>
</file>